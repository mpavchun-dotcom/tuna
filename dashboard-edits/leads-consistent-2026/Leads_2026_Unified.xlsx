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щие итоги" sheetId="1" state="visible" r:id="rId1"/>
    <sheet xmlns:r="http://schemas.openxmlformats.org/officeDocument/2006/relationships" name="BU — расчёт" sheetId="2" state="visible" r:id="rId2"/>
    <sheet xmlns:r="http://schemas.openxmlformats.org/officeDocument/2006/relationships" name="Сверка" sheetId="3" state="visible" r:id="rId3"/>
    <sheet xmlns:r="http://schemas.openxmlformats.org/officeDocument/2006/relationships" name="III квартал" sheetId="4" state="visible" r:id="rId4"/>
    <sheet xmlns:r="http://schemas.openxmlformats.org/officeDocument/2006/relationships" name="Основа CRM" sheetId="5" state="visible" r:id="rId5"/>
    <sheet xmlns:r="http://schemas.openxmlformats.org/officeDocument/2006/relationships" name="Методика и изменения" sheetId="6" state="visible" r:id="rId6"/>
    <sheet xmlns:r="http://schemas.openxmlformats.org/officeDocument/2006/relationships" name="Редактируемые графики" sheetId="7" state="visible" r:id="rId7"/>
  </sheets>
  <definedNames>
    <definedName name="_xlnm._FilterDatabase" localSheetId="0" hidden="1">'Общие итоги'!$A$1:$E$14</definedName>
    <definedName name="_xlnm._FilterDatabase" localSheetId="1" hidden="1">'BU — расчёт'!$A$1:$K$11</definedName>
    <definedName name="_xlnm._FilterDatabase" localSheetId="2" hidden="1">'Сверка'!$A$1:$H$10</definedName>
    <definedName name="_xlnm._FilterDatabase" localSheetId="3" hidden="1">'III квартал'!$A$1:$C$12</definedName>
    <definedName name="_xlnm._FilterDatabase" localSheetId="4" hidden="1">'Основа CRM'!$A$1:$G$37</definedName>
    <definedName name="_xlnm._FilterDatabase" localSheetId="5" hidden="1">'Методика и изменения'!$A$1:$B$12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Общая динамика лидов</a:t>
            </a:r>
          </a:p>
        </rich>
      </tx>
    </title>
    <plotArea>
      <lineChart>
        <grouping val="standard"/>
        <ser>
          <idx val="0"/>
          <order val="0"/>
          <tx>
            <strRef>
              <f>'Общие итоги'!B1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'Общие итоги'!$A$2:$A$13</f>
            </numRef>
          </cat>
          <val>
            <numRef>
              <f>'Общие итоги'!$B$2:$B$13</f>
            </numRef>
          </val>
        </ser>
        <ser>
          <idx val="1"/>
          <order val="1"/>
          <tx>
            <strRef>
              <f>'Общие итоги'!C1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'Общие итоги'!$A$2:$A$13</f>
            </numRef>
          </cat>
          <val>
            <numRef>
              <f>'Общие итоги'!$C$2:$C$13</f>
            </numRef>
          </val>
        </ser>
        <ser>
          <idx val="2"/>
          <order val="2"/>
          <tx>
            <strRef>
              <f>'Общие итоги'!D1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'Общие итоги'!$A$2:$A$13</f>
            </numRef>
          </cat>
          <val>
            <numRef>
              <f>'Общие итоги'!$D$2:$D$13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Service — расчёт</a:t>
            </a:r>
          </a:p>
        </rich>
      </tx>
    </title>
    <plotArea>
      <lineChart>
        <grouping val="standard"/>
        <ser>
          <idx val="0"/>
          <order val="0"/>
          <tx>
            <strRef>
              <f>'BU — расчёт'!B1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 — расчёт'!$A$2:$A$10</f>
            </numRef>
          </cat>
          <val>
            <numRef>
              <f>'BU — расчёт'!$B$2:$B$10</f>
            </numRef>
          </val>
        </ser>
        <ser>
          <idx val="1"/>
          <order val="1"/>
          <tx>
            <strRef>
              <f>'BU — расчёт'!C1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 — расчёт'!$A$2:$A$10</f>
            </numRef>
          </cat>
          <val>
            <numRef>
              <f>'BU — расчёт'!$C$2:$C$10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 — расчёт</a:t>
            </a:r>
          </a:p>
        </rich>
      </tx>
    </title>
    <plotArea>
      <lineChart>
        <grouping val="standard"/>
        <ser>
          <idx val="0"/>
          <order val="0"/>
          <tx>
            <strRef>
              <f>'BU — расчёт'!D1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 — расчёт'!$A$2:$A$10</f>
            </numRef>
          </cat>
          <val>
            <numRef>
              <f>'BU — расчёт'!$D$2:$D$10</f>
            </numRef>
          </val>
        </ser>
        <ser>
          <idx val="1"/>
          <order val="1"/>
          <tx>
            <strRef>
              <f>'BU — расчёт'!E1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 — расчёт'!$A$2:$A$10</f>
            </numRef>
          </cat>
          <val>
            <numRef>
              <f>'BU — расчёт'!$E$2:$E$10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— расчёт</a:t>
            </a:r>
          </a:p>
        </rich>
      </tx>
    </title>
    <plotArea>
      <lineChart>
        <grouping val="standard"/>
        <ser>
          <idx val="0"/>
          <order val="0"/>
          <tx>
            <strRef>
              <f>'BU — расчёт'!F1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 — расчёт'!$A$2:$A$10</f>
            </numRef>
          </cat>
          <val>
            <numRef>
              <f>'BU — расчёт'!$F$2:$F$10</f>
            </numRef>
          </val>
        </ser>
        <ser>
          <idx val="1"/>
          <order val="1"/>
          <tx>
            <strRef>
              <f>'BU — расчёт'!G1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 — расчёт'!$A$2:$A$10</f>
            </numRef>
          </cat>
          <val>
            <numRef>
              <f>'BU — расчёт'!$G$2:$G$10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Industrial — расчёт</a:t>
            </a:r>
          </a:p>
        </rich>
      </tx>
    </title>
    <plotArea>
      <lineChart>
        <grouping val="standard"/>
        <ser>
          <idx val="0"/>
          <order val="0"/>
          <tx>
            <strRef>
              <f>'BU — расчёт'!H1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 — расчёт'!$A$2:$A$10</f>
            </numRef>
          </cat>
          <val>
            <numRef>
              <f>'BU — расчёт'!$H$2:$H$10</f>
            </numRef>
          </val>
        </ser>
        <ser>
          <idx val="1"/>
          <order val="1"/>
          <tx>
            <strRef>
              <f>'BU — расчёт'!I1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 — расчёт'!$A$2:$A$10</f>
            </numRef>
          </cat>
          <val>
            <numRef>
              <f>'BU — расчёт'!$I$2:$I$10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III квартал: входящие+маркетинг</a:t>
            </a:r>
          </a:p>
        </rich>
      </tx>
    </title>
    <plotArea>
      <doughnutChart>
        <varyColors val="1"/>
        <ser>
          <idx val="0"/>
          <order val="0"/>
          <tx>
            <strRef>
              <f>'III квартал'!B6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'III квартал'!$A$7:$A$10</f>
            </numRef>
          </cat>
          <val>
            <numRef>
              <f>'III квартал'!$B$7:$B$10</f>
            </numRef>
          </val>
        </ser>
        <firstSliceAng val="0"/>
        <holeSize val="6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28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28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48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48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17</col>
      <colOff>0</colOff>
      <row>0</row>
      <rowOff>0</rowOff>
    </from>
    <ext cx="5400000" cy="39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3" customHeight="1">
      <c r="A1" s="1" t="inlineStr">
        <is>
          <t>Месяц</t>
        </is>
      </c>
      <c r="B1" s="1" t="inlineStr">
        <is>
          <t>2026 — все источники</t>
        </is>
      </c>
      <c r="C1" s="1" t="inlineStr">
        <is>
          <t>2026 — входящие+маркетинг</t>
        </is>
      </c>
      <c r="D1" s="1" t="inlineStr">
        <is>
          <t>2025 — входящие+маркетинг</t>
        </is>
      </c>
      <c r="E1" s="1" t="inlineStr">
        <is>
          <t>Статус 2026</t>
        </is>
      </c>
    </row>
    <row r="2">
      <c r="A2" s="2" t="inlineStr">
        <is>
          <t>Январь</t>
        </is>
      </c>
      <c r="B2" s="2" t="n">
        <v>90</v>
      </c>
      <c r="C2" s="2" t="n">
        <v>47</v>
      </c>
      <c r="D2" s="2" t="n">
        <v>24</v>
      </c>
      <c r="E2" s="2" t="inlineStr">
        <is>
          <t>Согласованный итог</t>
        </is>
      </c>
    </row>
    <row r="3">
      <c r="A3" s="2" t="inlineStr">
        <is>
          <t>Февраль</t>
        </is>
      </c>
      <c r="B3" s="2" t="n">
        <v>120</v>
      </c>
      <c r="C3" s="2" t="n">
        <v>59</v>
      </c>
      <c r="D3" s="2" t="n">
        <v>110</v>
      </c>
      <c r="E3" s="2" t="inlineStr">
        <is>
          <t>Согласованный итог</t>
        </is>
      </c>
    </row>
    <row r="4">
      <c r="A4" s="2" t="inlineStr">
        <is>
          <t>Март</t>
        </is>
      </c>
      <c r="B4" s="2" t="n">
        <v>154</v>
      </c>
      <c r="C4" s="2" t="n">
        <v>100</v>
      </c>
      <c r="D4" s="2" t="n">
        <v>67</v>
      </c>
      <c r="E4" s="2" t="inlineStr">
        <is>
          <t>Согласованный итог</t>
        </is>
      </c>
    </row>
    <row r="5">
      <c r="A5" s="2" t="inlineStr">
        <is>
          <t>Апрель</t>
        </is>
      </c>
      <c r="B5" s="2" t="n">
        <v>110</v>
      </c>
      <c r="C5" s="2" t="n">
        <v>81</v>
      </c>
      <c r="D5" s="2" t="n">
        <v>151</v>
      </c>
      <c r="E5" s="2" t="inlineStr">
        <is>
          <t>Согласованный итог</t>
        </is>
      </c>
    </row>
    <row r="6">
      <c r="A6" s="2" t="inlineStr">
        <is>
          <t>Май</t>
        </is>
      </c>
      <c r="B6" s="2" t="n">
        <v>138</v>
      </c>
      <c r="C6" s="2" t="n">
        <v>92</v>
      </c>
      <c r="D6" s="2" t="n">
        <v>81</v>
      </c>
      <c r="E6" s="2" t="inlineStr">
        <is>
          <t>Согласованный итог</t>
        </is>
      </c>
    </row>
    <row r="7">
      <c r="A7" s="2" t="inlineStr">
        <is>
          <t>Июнь</t>
        </is>
      </c>
      <c r="B7" s="2" t="n">
        <v>176</v>
      </c>
      <c r="C7" s="2" t="n">
        <v>134</v>
      </c>
      <c r="D7" s="2" t="n">
        <v>60</v>
      </c>
      <c r="E7" s="2" t="inlineStr">
        <is>
          <t>Согласованный итог</t>
        </is>
      </c>
    </row>
    <row r="8">
      <c r="A8" s="2" t="inlineStr">
        <is>
          <t>Июль</t>
        </is>
      </c>
      <c r="B8" s="2" t="n">
        <v>212</v>
      </c>
      <c r="C8" s="2" t="n">
        <v>134</v>
      </c>
      <c r="D8" s="2" t="n">
        <v>95</v>
      </c>
      <c r="E8" s="2" t="inlineStr">
        <is>
          <t>Согласованный итог</t>
        </is>
      </c>
    </row>
    <row r="9">
      <c r="A9" s="2" t="inlineStr">
        <is>
          <t>Август</t>
        </is>
      </c>
      <c r="B9" s="2" t="n">
        <v>149</v>
      </c>
      <c r="C9" s="2" t="n">
        <v>95</v>
      </c>
      <c r="D9" s="2" t="n">
        <v>83</v>
      </c>
      <c r="E9" s="2" t="inlineStr">
        <is>
          <t>Согласованный итог</t>
        </is>
      </c>
    </row>
    <row r="10">
      <c r="A10" s="2" t="inlineStr">
        <is>
          <t>Сентябрь</t>
        </is>
      </c>
      <c r="B10" s="2" t="n">
        <v>185</v>
      </c>
      <c r="C10" s="2" t="n">
        <v>145</v>
      </c>
      <c r="D10" s="2" t="n">
        <v>89</v>
      </c>
      <c r="E10" s="2" t="inlineStr">
        <is>
          <t>Согласованный итог</t>
        </is>
      </c>
    </row>
    <row r="11">
      <c r="A11" s="2" t="inlineStr">
        <is>
          <t>Октябрь</t>
        </is>
      </c>
      <c r="B11" s="2" t="n">
        <v>120</v>
      </c>
      <c r="C11" s="2" t="n">
        <v>100</v>
      </c>
      <c r="D11" s="2" t="n">
        <v>156</v>
      </c>
      <c r="E11" s="2" t="inlineStr">
        <is>
          <t>Сценарный прогноз</t>
        </is>
      </c>
    </row>
    <row r="12">
      <c r="A12" s="2" t="inlineStr">
        <is>
          <t>Ноябрь</t>
        </is>
      </c>
      <c r="B12" s="2" t="n">
        <v>100</v>
      </c>
      <c r="C12" s="2" t="n">
        <v>79</v>
      </c>
      <c r="D12" s="2" t="n">
        <v>79</v>
      </c>
      <c r="E12" s="2" t="inlineStr">
        <is>
          <t>Сценарный прогноз</t>
        </is>
      </c>
    </row>
    <row r="13">
      <c r="A13" s="2" t="inlineStr">
        <is>
          <t>Декабрь</t>
        </is>
      </c>
      <c r="B13" s="2" t="n">
        <v>110</v>
      </c>
      <c r="C13" s="2" t="n">
        <v>88</v>
      </c>
      <c r="D13" s="2" t="n">
        <v>88</v>
      </c>
      <c r="E13" s="2" t="inlineStr">
        <is>
          <t>Сценарный прогноз</t>
        </is>
      </c>
    </row>
    <row r="14">
      <c r="A14" s="2" t="inlineStr">
        <is>
          <t>Январь–сентябрь</t>
        </is>
      </c>
      <c r="B14" s="2">
        <f>SUM(B2:B10)</f>
        <v/>
      </c>
      <c r="C14" s="2">
        <f>SUM(C2:C10)</f>
        <v/>
      </c>
      <c r="D14" s="2">
        <f>SUM(D2:D10)</f>
        <v/>
      </c>
      <c r="E14" s="2" t="inlineStr">
        <is>
          <t>Без прогноза</t>
        </is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 ht="33" customHeight="1">
      <c r="A1" s="1" t="inlineStr">
        <is>
          <t>Месяц</t>
        </is>
      </c>
      <c r="B1" s="1" t="inlineStr">
        <is>
          <t>HR — все</t>
        </is>
      </c>
      <c r="C1" s="1" t="inlineStr">
        <is>
          <t>HR — вход+марк</t>
        </is>
      </c>
      <c r="D1" s="1" t="inlineStr">
        <is>
          <t>IT — все</t>
        </is>
      </c>
      <c r="E1" s="1" t="inlineStr">
        <is>
          <t>IT — вход+марк</t>
        </is>
      </c>
      <c r="F1" s="1" t="inlineStr">
        <is>
          <t>Trade — все</t>
        </is>
      </c>
      <c r="G1" s="1" t="inlineStr">
        <is>
          <t>Trade — вход+марк</t>
        </is>
      </c>
      <c r="H1" s="1" t="inlineStr">
        <is>
          <t>Industrial — все</t>
        </is>
      </c>
      <c r="I1" s="1" t="inlineStr">
        <is>
          <t>Industrial — вход+марк</t>
        </is>
      </c>
      <c r="J1" s="1" t="inlineStr">
        <is>
          <t>Итого — все</t>
        </is>
      </c>
      <c r="K1" s="1" t="inlineStr">
        <is>
          <t>Итого — вход+марк</t>
        </is>
      </c>
    </row>
    <row r="2">
      <c r="A2" s="2" t="inlineStr">
        <is>
          <t>Январь</t>
        </is>
      </c>
      <c r="B2" s="2" t="n">
        <v>68</v>
      </c>
      <c r="C2" s="2" t="n">
        <v>32</v>
      </c>
      <c r="D2" s="2" t="n">
        <v>14</v>
      </c>
      <c r="E2" s="2" t="n">
        <v>10</v>
      </c>
      <c r="F2" s="2" t="n">
        <v>5</v>
      </c>
      <c r="G2" s="2" t="n">
        <v>3</v>
      </c>
      <c r="H2" s="2" t="n">
        <v>3</v>
      </c>
      <c r="I2" s="2" t="n">
        <v>2</v>
      </c>
      <c r="J2" s="2">
        <f>SUM(B2,D2,F2,H2)</f>
        <v/>
      </c>
      <c r="K2" s="2">
        <f>SUM(C2,E2,G2,I2)</f>
        <v/>
      </c>
    </row>
    <row r="3">
      <c r="A3" s="2" t="inlineStr">
        <is>
          <t>Февраль</t>
        </is>
      </c>
      <c r="B3" s="2" t="n">
        <v>103</v>
      </c>
      <c r="C3" s="2" t="n">
        <v>51</v>
      </c>
      <c r="D3" s="2" t="n">
        <v>6</v>
      </c>
      <c r="E3" s="2" t="n">
        <v>4</v>
      </c>
      <c r="F3" s="2" t="n">
        <v>7</v>
      </c>
      <c r="G3" s="2" t="n">
        <v>2</v>
      </c>
      <c r="H3" s="2" t="n">
        <v>4</v>
      </c>
      <c r="I3" s="2" t="n">
        <v>2</v>
      </c>
      <c r="J3" s="2">
        <f>SUM(B3,D3,F3,H3)</f>
        <v/>
      </c>
      <c r="K3" s="2">
        <f>SUM(C3,E3,G3,I3)</f>
        <v/>
      </c>
    </row>
    <row r="4">
      <c r="A4" s="2" t="inlineStr">
        <is>
          <t>Март</t>
        </is>
      </c>
      <c r="B4" s="2" t="n">
        <v>104</v>
      </c>
      <c r="C4" s="2" t="n">
        <v>68</v>
      </c>
      <c r="D4" s="2" t="n">
        <v>46</v>
      </c>
      <c r="E4" s="2" t="n">
        <v>32</v>
      </c>
      <c r="F4" s="2" t="n">
        <v>3</v>
      </c>
      <c r="G4" s="2" t="n">
        <v>0</v>
      </c>
      <c r="H4" s="2" t="n">
        <v>1</v>
      </c>
      <c r="I4" s="2" t="n">
        <v>0</v>
      </c>
      <c r="J4" s="2">
        <f>SUM(B4,D4,F4,H4)</f>
        <v/>
      </c>
      <c r="K4" s="2">
        <f>SUM(C4,E4,G4,I4)</f>
        <v/>
      </c>
    </row>
    <row r="5">
      <c r="A5" s="2" t="inlineStr">
        <is>
          <t>Апрель</t>
        </is>
      </c>
      <c r="B5" s="2" t="n">
        <v>83</v>
      </c>
      <c r="C5" s="2" t="n">
        <v>62</v>
      </c>
      <c r="D5" s="2" t="n">
        <v>19</v>
      </c>
      <c r="E5" s="2" t="n">
        <v>14</v>
      </c>
      <c r="F5" s="2" t="n">
        <v>8</v>
      </c>
      <c r="G5" s="2" t="n">
        <v>5</v>
      </c>
      <c r="H5" s="2" t="n">
        <v>0</v>
      </c>
      <c r="I5" s="2" t="n">
        <v>0</v>
      </c>
      <c r="J5" s="2">
        <f>SUM(B5,D5,F5,H5)</f>
        <v/>
      </c>
      <c r="K5" s="2">
        <f>SUM(C5,E5,G5,I5)</f>
        <v/>
      </c>
    </row>
    <row r="6">
      <c r="A6" s="2" t="inlineStr">
        <is>
          <t>Май</t>
        </is>
      </c>
      <c r="B6" s="2" t="n">
        <v>93</v>
      </c>
      <c r="C6" s="2" t="n">
        <v>70</v>
      </c>
      <c r="D6" s="2" t="n">
        <v>40</v>
      </c>
      <c r="E6" s="2" t="n">
        <v>18</v>
      </c>
      <c r="F6" s="2" t="n">
        <v>5</v>
      </c>
      <c r="G6" s="2" t="n">
        <v>4</v>
      </c>
      <c r="H6" s="2" t="n">
        <v>0</v>
      </c>
      <c r="I6" s="2" t="n">
        <v>0</v>
      </c>
      <c r="J6" s="2">
        <f>SUM(B6,D6,F6,H6)</f>
        <v/>
      </c>
      <c r="K6" s="2">
        <f>SUM(C6,E6,G6,I6)</f>
        <v/>
      </c>
    </row>
    <row r="7">
      <c r="A7" s="2" t="inlineStr">
        <is>
          <t>Июнь</t>
        </is>
      </c>
      <c r="B7" s="2" t="n">
        <v>154</v>
      </c>
      <c r="C7" s="2" t="n">
        <v>116</v>
      </c>
      <c r="D7" s="2" t="n">
        <v>19</v>
      </c>
      <c r="E7" s="2" t="n">
        <v>16</v>
      </c>
      <c r="F7" s="2" t="n">
        <v>2</v>
      </c>
      <c r="G7" s="2" t="n">
        <v>1</v>
      </c>
      <c r="H7" s="2" t="n">
        <v>1</v>
      </c>
      <c r="I7" s="2" t="n">
        <v>1</v>
      </c>
      <c r="J7" s="2">
        <f>SUM(B7,D7,F7,H7)</f>
        <v/>
      </c>
      <c r="K7" s="2">
        <f>SUM(C7,E7,G7,I7)</f>
        <v/>
      </c>
    </row>
    <row r="8">
      <c r="A8" s="2" t="inlineStr">
        <is>
          <t>Июль</t>
        </is>
      </c>
      <c r="B8" s="2" t="n">
        <v>187</v>
      </c>
      <c r="C8" s="2" t="n">
        <v>120</v>
      </c>
      <c r="D8" s="2" t="n">
        <v>18</v>
      </c>
      <c r="E8" s="2" t="n">
        <v>8</v>
      </c>
      <c r="F8" s="2" t="n">
        <v>6</v>
      </c>
      <c r="G8" s="2" t="n">
        <v>5</v>
      </c>
      <c r="H8" s="2" t="n">
        <v>1</v>
      </c>
      <c r="I8" s="2" t="n">
        <v>1</v>
      </c>
      <c r="J8" s="2">
        <f>SUM(B8,D8,F8,H8)</f>
        <v/>
      </c>
      <c r="K8" s="2">
        <f>SUM(C8,E8,G8,I8)</f>
        <v/>
      </c>
    </row>
    <row r="9">
      <c r="A9" s="2" t="inlineStr">
        <is>
          <t>Август</t>
        </is>
      </c>
      <c r="B9" s="2" t="n">
        <v>111</v>
      </c>
      <c r="C9" s="2" t="n">
        <v>79</v>
      </c>
      <c r="D9" s="2" t="n">
        <v>13</v>
      </c>
      <c r="E9" s="2" t="n">
        <v>3</v>
      </c>
      <c r="F9" s="2" t="n">
        <v>11</v>
      </c>
      <c r="G9" s="2" t="n">
        <v>3</v>
      </c>
      <c r="H9" s="2" t="n">
        <v>14</v>
      </c>
      <c r="I9" s="2" t="n">
        <v>10</v>
      </c>
      <c r="J9" s="2">
        <f>SUM(B9,D9,F9,H9)</f>
        <v/>
      </c>
      <c r="K9" s="2">
        <f>SUM(C9,E9,G9,I9)</f>
        <v/>
      </c>
    </row>
    <row r="10">
      <c r="A10" s="2" t="inlineStr">
        <is>
          <t>Сентябрь</t>
        </is>
      </c>
      <c r="B10" s="2" t="n">
        <v>141</v>
      </c>
      <c r="C10" s="2" t="n">
        <v>113</v>
      </c>
      <c r="D10" s="2" t="n">
        <v>32</v>
      </c>
      <c r="E10" s="2" t="n">
        <v>28</v>
      </c>
      <c r="F10" s="2" t="n">
        <v>10</v>
      </c>
      <c r="G10" s="2" t="n">
        <v>4</v>
      </c>
      <c r="H10" s="2" t="n">
        <v>2</v>
      </c>
      <c r="I10" s="2" t="n">
        <v>0</v>
      </c>
      <c r="J10" s="2">
        <f>SUM(B10,D10,F10,H10)</f>
        <v/>
      </c>
      <c r="K10" s="2">
        <f>SUM(C10,E10,G10,I10)</f>
        <v/>
      </c>
    </row>
    <row r="11">
      <c r="A11" s="2" t="inlineStr">
        <is>
          <t>ИТОГО</t>
        </is>
      </c>
      <c r="B11" s="2">
        <f>SUM(B2:B10)</f>
        <v/>
      </c>
      <c r="C11" s="2">
        <f>SUM(C2:C10)</f>
        <v/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3" customHeight="1">
      <c r="A1" s="1" t="inlineStr">
        <is>
          <t>Месяц</t>
        </is>
      </c>
      <c r="B1" s="1" t="inlineStr">
        <is>
          <t>BU — все</t>
        </is>
      </c>
      <c r="C1" s="1" t="inlineStr">
        <is>
          <t>Общий — все</t>
        </is>
      </c>
      <c r="D1" s="1" t="inlineStr">
        <is>
          <t>Разница</t>
        </is>
      </c>
      <c r="E1" s="1" t="inlineStr">
        <is>
          <t>BU — вход+марк</t>
        </is>
      </c>
      <c r="F1" s="1" t="inlineStr">
        <is>
          <t>Общий — вход+марк</t>
        </is>
      </c>
      <c r="G1" s="1" t="inlineStr">
        <is>
          <t>Разница</t>
        </is>
      </c>
      <c r="H1" s="1" t="inlineStr">
        <is>
          <t>Проверка вложенности</t>
        </is>
      </c>
    </row>
    <row r="2">
      <c r="A2" s="2" t="inlineStr">
        <is>
          <t>Январь</t>
        </is>
      </c>
      <c r="B2" s="2">
        <f>'BU — расчёт'!J2</f>
        <v/>
      </c>
      <c r="C2" s="2">
        <f>'Общие итоги'!B2</f>
        <v/>
      </c>
      <c r="D2" s="2">
        <f>B2-C2</f>
        <v/>
      </c>
      <c r="E2" s="2">
        <f>'BU — расчёт'!K2</f>
        <v/>
      </c>
      <c r="F2" s="2">
        <f>'Общие итоги'!C2</f>
        <v/>
      </c>
      <c r="G2" s="2">
        <f>E2-F2</f>
        <v/>
      </c>
      <c r="H2" s="2">
        <f>IF(AND('BU — расчёт'!C2&lt;='BU — расчёт'!B2,'BU — расчёт'!E2&lt;='BU — расчёт'!D2,'BU — расчёт'!G2&lt;='BU — расчёт'!F2,'BU — расчёт'!I2&lt;='BU — расчёт'!H2),"ОК","ОШИБКА")</f>
        <v/>
      </c>
    </row>
    <row r="3">
      <c r="A3" s="2" t="inlineStr">
        <is>
          <t>Февраль</t>
        </is>
      </c>
      <c r="B3" s="2">
        <f>'BU — расчёт'!J3</f>
        <v/>
      </c>
      <c r="C3" s="2">
        <f>'Общие итоги'!B3</f>
        <v/>
      </c>
      <c r="D3" s="2">
        <f>B3-C3</f>
        <v/>
      </c>
      <c r="E3" s="2">
        <f>'BU — расчёт'!K3</f>
        <v/>
      </c>
      <c r="F3" s="2">
        <f>'Общие итоги'!C3</f>
        <v/>
      </c>
      <c r="G3" s="2">
        <f>E3-F3</f>
        <v/>
      </c>
      <c r="H3" s="2">
        <f>IF(AND('BU — расчёт'!C3&lt;='BU — расчёт'!B3,'BU — расчёт'!E3&lt;='BU — расчёт'!D3,'BU — расчёт'!G3&lt;='BU — расчёт'!F3,'BU — расчёт'!I3&lt;='BU — расчёт'!H3),"ОК","ОШИБКА")</f>
        <v/>
      </c>
    </row>
    <row r="4">
      <c r="A4" s="2" t="inlineStr">
        <is>
          <t>Март</t>
        </is>
      </c>
      <c r="B4" s="2">
        <f>'BU — расчёт'!J4</f>
        <v/>
      </c>
      <c r="C4" s="2">
        <f>'Общие итоги'!B4</f>
        <v/>
      </c>
      <c r="D4" s="2">
        <f>B4-C4</f>
        <v/>
      </c>
      <c r="E4" s="2">
        <f>'BU — расчёт'!K4</f>
        <v/>
      </c>
      <c r="F4" s="2">
        <f>'Общие итоги'!C4</f>
        <v/>
      </c>
      <c r="G4" s="2">
        <f>E4-F4</f>
        <v/>
      </c>
      <c r="H4" s="2">
        <f>IF(AND('BU — расчёт'!C4&lt;='BU — расчёт'!B4,'BU — расчёт'!E4&lt;='BU — расчёт'!D4,'BU — расчёт'!G4&lt;='BU — расчёт'!F4,'BU — расчёт'!I4&lt;='BU — расчёт'!H4),"ОК","ОШИБКА")</f>
        <v/>
      </c>
    </row>
    <row r="5">
      <c r="A5" s="2" t="inlineStr">
        <is>
          <t>Апрель</t>
        </is>
      </c>
      <c r="B5" s="2">
        <f>'BU — расчёт'!J5</f>
        <v/>
      </c>
      <c r="C5" s="2">
        <f>'Общие итоги'!B5</f>
        <v/>
      </c>
      <c r="D5" s="2">
        <f>B5-C5</f>
        <v/>
      </c>
      <c r="E5" s="2">
        <f>'BU — расчёт'!K5</f>
        <v/>
      </c>
      <c r="F5" s="2">
        <f>'Общие итоги'!C5</f>
        <v/>
      </c>
      <c r="G5" s="2">
        <f>E5-F5</f>
        <v/>
      </c>
      <c r="H5" s="2">
        <f>IF(AND('BU — расчёт'!C5&lt;='BU — расчёт'!B5,'BU — расчёт'!E5&lt;='BU — расчёт'!D5,'BU — расчёт'!G5&lt;='BU — расчёт'!F5,'BU — расчёт'!I5&lt;='BU — расчёт'!H5),"ОК","ОШИБКА")</f>
        <v/>
      </c>
    </row>
    <row r="6">
      <c r="A6" s="2" t="inlineStr">
        <is>
          <t>Май</t>
        </is>
      </c>
      <c r="B6" s="2">
        <f>'BU — расчёт'!J6</f>
        <v/>
      </c>
      <c r="C6" s="2">
        <f>'Общие итоги'!B6</f>
        <v/>
      </c>
      <c r="D6" s="2">
        <f>B6-C6</f>
        <v/>
      </c>
      <c r="E6" s="2">
        <f>'BU — расчёт'!K6</f>
        <v/>
      </c>
      <c r="F6" s="2">
        <f>'Общие итоги'!C6</f>
        <v/>
      </c>
      <c r="G6" s="2">
        <f>E6-F6</f>
        <v/>
      </c>
      <c r="H6" s="2">
        <f>IF(AND('BU — расчёт'!C6&lt;='BU — расчёт'!B6,'BU — расчёт'!E6&lt;='BU — расчёт'!D6,'BU — расчёт'!G6&lt;='BU — расчёт'!F6,'BU — расчёт'!I6&lt;='BU — расчёт'!H6),"ОК","ОШИБКА")</f>
        <v/>
      </c>
    </row>
    <row r="7">
      <c r="A7" s="2" t="inlineStr">
        <is>
          <t>Июнь</t>
        </is>
      </c>
      <c r="B7" s="2">
        <f>'BU — расчёт'!J7</f>
        <v/>
      </c>
      <c r="C7" s="2">
        <f>'Общие итоги'!B7</f>
        <v/>
      </c>
      <c r="D7" s="2">
        <f>B7-C7</f>
        <v/>
      </c>
      <c r="E7" s="2">
        <f>'BU — расчёт'!K7</f>
        <v/>
      </c>
      <c r="F7" s="2">
        <f>'Общие итоги'!C7</f>
        <v/>
      </c>
      <c r="G7" s="2">
        <f>E7-F7</f>
        <v/>
      </c>
      <c r="H7" s="2">
        <f>IF(AND('BU — расчёт'!C7&lt;='BU — расчёт'!B7,'BU — расчёт'!E7&lt;='BU — расчёт'!D7,'BU — расчёт'!G7&lt;='BU — расчёт'!F7,'BU — расчёт'!I7&lt;='BU — расчёт'!H7),"ОК","ОШИБКА")</f>
        <v/>
      </c>
    </row>
    <row r="8">
      <c r="A8" s="2" t="inlineStr">
        <is>
          <t>Июль</t>
        </is>
      </c>
      <c r="B8" s="2">
        <f>'BU — расчёт'!J8</f>
        <v/>
      </c>
      <c r="C8" s="2">
        <f>'Общие итоги'!B8</f>
        <v/>
      </c>
      <c r="D8" s="2">
        <f>B8-C8</f>
        <v/>
      </c>
      <c r="E8" s="2">
        <f>'BU — расчёт'!K8</f>
        <v/>
      </c>
      <c r="F8" s="2">
        <f>'Общие итоги'!C8</f>
        <v/>
      </c>
      <c r="G8" s="2">
        <f>E8-F8</f>
        <v/>
      </c>
      <c r="H8" s="2">
        <f>IF(AND('BU — расчёт'!C8&lt;='BU — расчёт'!B8,'BU — расчёт'!E8&lt;='BU — расчёт'!D8,'BU — расчёт'!G8&lt;='BU — расчёт'!F8,'BU — расчёт'!I8&lt;='BU — расчёт'!H8),"ОК","ОШИБКА")</f>
        <v/>
      </c>
    </row>
    <row r="9">
      <c r="A9" s="2" t="inlineStr">
        <is>
          <t>Август</t>
        </is>
      </c>
      <c r="B9" s="2">
        <f>'BU — расчёт'!J9</f>
        <v/>
      </c>
      <c r="C9" s="2">
        <f>'Общие итоги'!B9</f>
        <v/>
      </c>
      <c r="D9" s="2">
        <f>B9-C9</f>
        <v/>
      </c>
      <c r="E9" s="2">
        <f>'BU — расчёт'!K9</f>
        <v/>
      </c>
      <c r="F9" s="2">
        <f>'Общие итоги'!C9</f>
        <v/>
      </c>
      <c r="G9" s="2">
        <f>E9-F9</f>
        <v/>
      </c>
      <c r="H9" s="2">
        <f>IF(AND('BU — расчёт'!C9&lt;='BU — расчёт'!B9,'BU — расчёт'!E9&lt;='BU — расчёт'!D9,'BU — расчёт'!G9&lt;='BU — расчёт'!F9,'BU — расчёт'!I9&lt;='BU — расчёт'!H9),"ОК","ОШИБКА")</f>
        <v/>
      </c>
    </row>
    <row r="10">
      <c r="A10" s="2" t="inlineStr">
        <is>
          <t>Сентябрь</t>
        </is>
      </c>
      <c r="B10" s="2">
        <f>'BU — расчёт'!J10</f>
        <v/>
      </c>
      <c r="C10" s="2">
        <f>'Общие итоги'!B10</f>
        <v/>
      </c>
      <c r="D10" s="2">
        <f>B10-C10</f>
        <v/>
      </c>
      <c r="E10" s="2">
        <f>'BU — расчёт'!K10</f>
        <v/>
      </c>
      <c r="F10" s="2">
        <f>'Общие итоги'!C10</f>
        <v/>
      </c>
      <c r="G10" s="2">
        <f>E10-F10</f>
        <v/>
      </c>
      <c r="H10" s="2">
        <f>IF(AND('BU — расчёт'!C10&lt;='BU — расчёт'!B10,'BU — расчёт'!E10&lt;='BU — расчёт'!D10,'BU — расчёт'!G10&lt;='BU — расчёт'!F10,'BU — расчёт'!I10&lt;='BU — расчёт'!H10),"ОК","ОШИБКА")</f>
        <v/>
      </c>
    </row>
  </sheetData>
  <autoFilter ref="A1:H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</cols>
  <sheetData>
    <row r="1" ht="33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Расшифровка</t>
        </is>
      </c>
    </row>
    <row r="2">
      <c r="A2" s="2" t="inlineStr">
        <is>
          <t>Все источники</t>
        </is>
      </c>
      <c r="B2" s="2">
        <f>SUM('Общие итоги'!B8:B10)</f>
        <v/>
      </c>
      <c r="C2" s="2" t="inlineStr">
        <is>
          <t>Июль–сентябрь 2026</t>
        </is>
      </c>
    </row>
    <row r="3">
      <c r="A3" s="2" t="inlineStr">
        <is>
          <t>Входящие+маркетинг</t>
        </is>
      </c>
      <c r="B3" s="2">
        <f>SUM('Общие итоги'!C8:C10)</f>
        <v/>
      </c>
      <c r="C3" s="2" t="inlineStr">
        <is>
          <t>134 + 95 + 145 = 374</t>
        </is>
      </c>
    </row>
    <row r="4">
      <c r="A4" s="2" t="inlineStr">
        <is>
          <t>Входящие+маркетинг 2025</t>
        </is>
      </c>
      <c r="B4" s="2">
        <f>SUM('Общие итоги'!D8:D10)</f>
        <v/>
      </c>
      <c r="C4" s="2" t="inlineStr">
        <is>
          <t>95 + 83 + 89 = 267</t>
        </is>
      </c>
    </row>
    <row r="5">
      <c r="A5" s="2" t="inlineStr">
        <is>
          <t>Рост к 2025</t>
        </is>
      </c>
      <c r="B5" s="3">
        <f>B3/B4-1</f>
        <v/>
      </c>
      <c r="C5" s="2" t="inlineStr">
        <is>
          <t>Показывается с округлением: +40%</t>
        </is>
      </c>
    </row>
    <row r="6">
      <c r="A6" s="2" t="inlineStr">
        <is>
          <t>BU</t>
        </is>
      </c>
      <c r="B6" s="2" t="inlineStr">
        <is>
          <t>Входящие+маркетинг</t>
        </is>
      </c>
      <c r="C6" s="2" t="inlineStr">
        <is>
          <t>Все источники</t>
        </is>
      </c>
    </row>
    <row r="7">
      <c r="A7" s="2" t="inlineStr">
        <is>
          <t>HR Service</t>
        </is>
      </c>
      <c r="B7" s="2">
        <f>SUM('BU — расчёт'!C8:C10)</f>
        <v/>
      </c>
      <c r="C7" s="2">
        <f>SUM('BU — расчёт'!B8:B10)</f>
        <v/>
      </c>
    </row>
    <row r="8">
      <c r="A8" s="2" t="inlineStr">
        <is>
          <t>IT</t>
        </is>
      </c>
      <c r="B8" s="2">
        <f>SUM('BU — расчёт'!E8:E10)</f>
        <v/>
      </c>
      <c r="C8" s="2">
        <f>SUM('BU — расчёт'!D8:D10)</f>
        <v/>
      </c>
    </row>
    <row r="9">
      <c r="A9" s="2" t="inlineStr">
        <is>
          <t>Trade</t>
        </is>
      </c>
      <c r="B9" s="2">
        <f>SUM('BU — расчёт'!G8:G10)</f>
        <v/>
      </c>
      <c r="C9" s="2">
        <f>SUM('BU — расчёт'!F8:F10)</f>
        <v/>
      </c>
    </row>
    <row r="10">
      <c r="A10" s="2" t="inlineStr">
        <is>
          <t>Industrial</t>
        </is>
      </c>
      <c r="B10" s="2">
        <f>SUM('BU — расчёт'!I8:I10)</f>
        <v/>
      </c>
      <c r="C10" s="2">
        <f>SUM('BU — расчёт'!H8:H10)</f>
        <v/>
      </c>
    </row>
    <row r="11">
      <c r="A11" s="2" t="inlineStr">
        <is>
          <t>Итого BU</t>
        </is>
      </c>
      <c r="B11" s="2">
        <f>SUM(B7:B10)</f>
        <v/>
      </c>
      <c r="C11" s="2">
        <f>SUM(C7:C10)</f>
        <v/>
      </c>
    </row>
    <row r="12">
      <c r="A12" s="2" t="inlineStr">
        <is>
          <t>Разница с общим</t>
        </is>
      </c>
      <c r="B12" s="2">
        <f>B11-B3</f>
        <v/>
      </c>
      <c r="C12" s="2">
        <f>C11-B2</f>
        <v/>
      </c>
    </row>
  </sheetData>
  <autoFilter ref="A1:C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3" customHeight="1">
      <c r="A1" s="1" t="inlineStr">
        <is>
          <t>Месяц</t>
        </is>
      </c>
      <c r="B1" s="1" t="inlineStr">
        <is>
          <t>BU</t>
        </is>
      </c>
      <c r="C1" s="1" t="inlineStr">
        <is>
          <t>Все: Excel</t>
        </is>
      </c>
      <c r="D1" s="1" t="inlineStr">
        <is>
          <t>Все: после поправки Trade</t>
        </is>
      </c>
      <c r="E1" s="1" t="inlineStr">
        <is>
          <t>Вход+марк: Excel</t>
        </is>
      </c>
      <c r="F1" s="1" t="inlineStr">
        <is>
          <t>Все: расчёт</t>
        </is>
      </c>
      <c r="G1" s="1" t="inlineStr">
        <is>
          <t>Вход+марк: расчёт</t>
        </is>
      </c>
    </row>
    <row r="2">
      <c r="A2" s="2" t="inlineStr">
        <is>
          <t>Январь</t>
        </is>
      </c>
      <c r="B2" s="2" t="inlineStr">
        <is>
          <t>HR Service</t>
        </is>
      </c>
      <c r="C2" s="2" t="n">
        <v>60</v>
      </c>
      <c r="D2" s="2" t="n">
        <v>60</v>
      </c>
      <c r="E2" s="2" t="n">
        <v>36</v>
      </c>
      <c r="F2" s="2" t="n">
        <v>68</v>
      </c>
      <c r="G2" s="2" t="n">
        <v>32</v>
      </c>
    </row>
    <row r="3">
      <c r="A3" s="2" t="inlineStr">
        <is>
          <t>Январь</t>
        </is>
      </c>
      <c r="B3" s="2" t="inlineStr">
        <is>
          <t>IT</t>
        </is>
      </c>
      <c r="C3" s="2" t="n">
        <v>12</v>
      </c>
      <c r="D3" s="2" t="n">
        <v>12</v>
      </c>
      <c r="E3" s="2" t="n">
        <v>11</v>
      </c>
      <c r="F3" s="2" t="n">
        <v>14</v>
      </c>
      <c r="G3" s="2" t="n">
        <v>10</v>
      </c>
    </row>
    <row r="4">
      <c r="A4" s="2" t="inlineStr">
        <is>
          <t>Январь</t>
        </is>
      </c>
      <c r="B4" s="2" t="inlineStr">
        <is>
          <t>Trade</t>
        </is>
      </c>
      <c r="C4" s="2" t="n">
        <v>4</v>
      </c>
      <c r="D4" s="2" t="n">
        <v>4</v>
      </c>
      <c r="E4" s="2" t="n">
        <v>3</v>
      </c>
      <c r="F4" s="2" t="n">
        <v>5</v>
      </c>
      <c r="G4" s="2" t="n">
        <v>3</v>
      </c>
    </row>
    <row r="5">
      <c r="A5" s="2" t="inlineStr">
        <is>
          <t>Январь</t>
        </is>
      </c>
      <c r="B5" s="2" t="inlineStr">
        <is>
          <t>Industrial</t>
        </is>
      </c>
      <c r="C5" s="2" t="n">
        <v>3</v>
      </c>
      <c r="D5" s="2" t="n">
        <v>3</v>
      </c>
      <c r="E5" s="2" t="n">
        <v>3</v>
      </c>
      <c r="F5" s="2" t="n">
        <v>3</v>
      </c>
      <c r="G5" s="2" t="n">
        <v>2</v>
      </c>
    </row>
    <row r="6">
      <c r="A6" s="2" t="inlineStr">
        <is>
          <t>Февраль</t>
        </is>
      </c>
      <c r="B6" s="2" t="inlineStr">
        <is>
          <t>HR Service</t>
        </is>
      </c>
      <c r="C6" s="2" t="n">
        <v>84</v>
      </c>
      <c r="D6" s="2" t="n">
        <v>84</v>
      </c>
      <c r="E6" s="2" t="n">
        <v>56</v>
      </c>
      <c r="F6" s="2" t="n">
        <v>103</v>
      </c>
      <c r="G6" s="2" t="n">
        <v>51</v>
      </c>
    </row>
    <row r="7">
      <c r="A7" s="2" t="inlineStr">
        <is>
          <t>Февраль</t>
        </is>
      </c>
      <c r="B7" s="2" t="inlineStr">
        <is>
          <t>IT</t>
        </is>
      </c>
      <c r="C7" s="2" t="n">
        <v>5</v>
      </c>
      <c r="D7" s="2" t="n">
        <v>5</v>
      </c>
      <c r="E7" s="2" t="n">
        <v>4</v>
      </c>
      <c r="F7" s="2" t="n">
        <v>6</v>
      </c>
      <c r="G7" s="2" t="n">
        <v>4</v>
      </c>
    </row>
    <row r="8">
      <c r="A8" s="2" t="inlineStr">
        <is>
          <t>Февраль</t>
        </is>
      </c>
      <c r="B8" s="2" t="inlineStr">
        <is>
          <t>Trade</t>
        </is>
      </c>
      <c r="C8" s="2" t="n">
        <v>6</v>
      </c>
      <c r="D8" s="2" t="n">
        <v>6</v>
      </c>
      <c r="E8" s="2" t="n">
        <v>2</v>
      </c>
      <c r="F8" s="2" t="n">
        <v>7</v>
      </c>
      <c r="G8" s="2" t="n">
        <v>2</v>
      </c>
    </row>
    <row r="9">
      <c r="A9" s="2" t="inlineStr">
        <is>
          <t>Февраль</t>
        </is>
      </c>
      <c r="B9" s="2" t="inlineStr">
        <is>
          <t>Industrial</t>
        </is>
      </c>
      <c r="C9" s="2" t="n">
        <v>3</v>
      </c>
      <c r="D9" s="2" t="n">
        <v>3</v>
      </c>
      <c r="E9" s="2" t="n">
        <v>2</v>
      </c>
      <c r="F9" s="2" t="n">
        <v>4</v>
      </c>
      <c r="G9" s="2" t="n">
        <v>2</v>
      </c>
    </row>
    <row r="10">
      <c r="A10" s="2" t="inlineStr">
        <is>
          <t>Март</t>
        </is>
      </c>
      <c r="B10" s="2" t="inlineStr">
        <is>
          <t>HR Service</t>
        </is>
      </c>
      <c r="C10" s="2" t="n">
        <v>96</v>
      </c>
      <c r="D10" s="2" t="n">
        <v>96</v>
      </c>
      <c r="E10" s="2" t="n">
        <v>75</v>
      </c>
      <c r="F10" s="2" t="n">
        <v>104</v>
      </c>
      <c r="G10" s="2" t="n">
        <v>68</v>
      </c>
    </row>
    <row r="11">
      <c r="A11" s="2" t="inlineStr">
        <is>
          <t>Март</t>
        </is>
      </c>
      <c r="B11" s="2" t="inlineStr">
        <is>
          <t>IT</t>
        </is>
      </c>
      <c r="C11" s="2" t="n">
        <v>42</v>
      </c>
      <c r="D11" s="2" t="n">
        <v>42</v>
      </c>
      <c r="E11" s="2" t="n">
        <v>35</v>
      </c>
      <c r="F11" s="2" t="n">
        <v>46</v>
      </c>
      <c r="G11" s="2" t="n">
        <v>32</v>
      </c>
    </row>
    <row r="12">
      <c r="A12" s="2" t="inlineStr">
        <is>
          <t>Март</t>
        </is>
      </c>
      <c r="B12" s="2" t="inlineStr">
        <is>
          <t>Trade</t>
        </is>
      </c>
      <c r="C12" s="2" t="n">
        <v>3</v>
      </c>
      <c r="D12" s="2" t="n">
        <v>3</v>
      </c>
      <c r="E12" s="2" t="n">
        <v>0</v>
      </c>
      <c r="F12" s="2" t="n">
        <v>3</v>
      </c>
      <c r="G12" s="2" t="n">
        <v>0</v>
      </c>
    </row>
    <row r="13">
      <c r="A13" s="2" t="inlineStr">
        <is>
          <t>Март</t>
        </is>
      </c>
      <c r="B13" s="2" t="inlineStr">
        <is>
          <t>Industrial</t>
        </is>
      </c>
      <c r="C13" s="2" t="n">
        <v>1</v>
      </c>
      <c r="D13" s="2" t="n">
        <v>1</v>
      </c>
      <c r="E13" s="2" t="n">
        <v>0</v>
      </c>
      <c r="F13" s="2" t="n">
        <v>1</v>
      </c>
      <c r="G13" s="2" t="n">
        <v>0</v>
      </c>
    </row>
    <row r="14">
      <c r="A14" s="2" t="inlineStr">
        <is>
          <t>Апрель</t>
        </is>
      </c>
      <c r="B14" s="2" t="inlineStr">
        <is>
          <t>HR Service</t>
        </is>
      </c>
      <c r="C14" s="2" t="n">
        <v>114</v>
      </c>
      <c r="D14" s="2" t="n">
        <v>114</v>
      </c>
      <c r="E14" s="2" t="n">
        <v>76</v>
      </c>
      <c r="F14" s="2" t="n">
        <v>83</v>
      </c>
      <c r="G14" s="2" t="n">
        <v>62</v>
      </c>
    </row>
    <row r="15">
      <c r="A15" s="2" t="inlineStr">
        <is>
          <t>Апрель</t>
        </is>
      </c>
      <c r="B15" s="2" t="inlineStr">
        <is>
          <t>IT</t>
        </is>
      </c>
      <c r="C15" s="2" t="n">
        <v>26</v>
      </c>
      <c r="D15" s="2" t="n">
        <v>26</v>
      </c>
      <c r="E15" s="2" t="n">
        <v>17</v>
      </c>
      <c r="F15" s="2" t="n">
        <v>19</v>
      </c>
      <c r="G15" s="2" t="n">
        <v>14</v>
      </c>
    </row>
    <row r="16">
      <c r="A16" s="2" t="inlineStr">
        <is>
          <t>Апрель</t>
        </is>
      </c>
      <c r="B16" s="2" t="inlineStr">
        <is>
          <t>Trade</t>
        </is>
      </c>
      <c r="C16" s="2" t="n">
        <v>11</v>
      </c>
      <c r="D16" s="2" t="n">
        <v>11</v>
      </c>
      <c r="E16" s="2" t="n">
        <v>6</v>
      </c>
      <c r="F16" s="2" t="n">
        <v>8</v>
      </c>
      <c r="G16" s="2" t="n">
        <v>5</v>
      </c>
    </row>
    <row r="17">
      <c r="A17" s="2" t="inlineStr">
        <is>
          <t>Апрель</t>
        </is>
      </c>
      <c r="B17" s="2" t="inlineStr">
        <is>
          <t>Industrial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Май</t>
        </is>
      </c>
      <c r="B18" s="2" t="inlineStr">
        <is>
          <t>HR Service</t>
        </is>
      </c>
      <c r="C18" s="2" t="n">
        <v>52</v>
      </c>
      <c r="D18" s="2" t="n">
        <v>52</v>
      </c>
      <c r="E18" s="2" t="n">
        <v>39</v>
      </c>
      <c r="F18" s="2" t="n">
        <v>93</v>
      </c>
      <c r="G18" s="2" t="n">
        <v>70</v>
      </c>
    </row>
    <row r="19">
      <c r="A19" s="2" t="inlineStr">
        <is>
          <t>Май</t>
        </is>
      </c>
      <c r="B19" s="2" t="inlineStr">
        <is>
          <t>IT</t>
        </is>
      </c>
      <c r="C19" s="2" t="n">
        <v>22</v>
      </c>
      <c r="D19" s="2" t="n">
        <v>22</v>
      </c>
      <c r="E19" s="2" t="n">
        <v>10</v>
      </c>
      <c r="F19" s="2" t="n">
        <v>40</v>
      </c>
      <c r="G19" s="2" t="n">
        <v>18</v>
      </c>
    </row>
    <row r="20">
      <c r="A20" s="2" t="inlineStr">
        <is>
          <t>Май</t>
        </is>
      </c>
      <c r="B20" s="2" t="inlineStr">
        <is>
          <t>Trade</t>
        </is>
      </c>
      <c r="C20" s="2" t="n">
        <v>3</v>
      </c>
      <c r="D20" s="2" t="n">
        <v>3</v>
      </c>
      <c r="E20" s="2" t="n">
        <v>2</v>
      </c>
      <c r="F20" s="2" t="n">
        <v>5</v>
      </c>
      <c r="G20" s="2" t="n">
        <v>4</v>
      </c>
    </row>
    <row r="21">
      <c r="A21" s="2" t="inlineStr">
        <is>
          <t>Май</t>
        </is>
      </c>
      <c r="B21" s="2" t="inlineStr">
        <is>
          <t>Industrial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</row>
    <row r="22">
      <c r="A22" s="2" t="inlineStr">
        <is>
          <t>Июнь</t>
        </is>
      </c>
      <c r="B22" s="2" t="inlineStr">
        <is>
          <t>HR Service</t>
        </is>
      </c>
      <c r="C22" s="2" t="n">
        <v>202</v>
      </c>
      <c r="D22" s="2" t="n">
        <v>202</v>
      </c>
      <c r="E22" s="2" t="n">
        <v>166</v>
      </c>
      <c r="F22" s="2" t="n">
        <v>154</v>
      </c>
      <c r="G22" s="2" t="n">
        <v>116</v>
      </c>
    </row>
    <row r="23">
      <c r="A23" s="2" t="inlineStr">
        <is>
          <t>Июнь</t>
        </is>
      </c>
      <c r="B23" s="2" t="inlineStr">
        <is>
          <t>IT</t>
        </is>
      </c>
      <c r="C23" s="2" t="n">
        <v>25</v>
      </c>
      <c r="D23" s="2" t="n">
        <v>25</v>
      </c>
      <c r="E23" s="2" t="n">
        <v>23</v>
      </c>
      <c r="F23" s="2" t="n">
        <v>19</v>
      </c>
      <c r="G23" s="2" t="n">
        <v>16</v>
      </c>
    </row>
    <row r="24">
      <c r="A24" s="2" t="inlineStr">
        <is>
          <t>Июнь</t>
        </is>
      </c>
      <c r="B24" s="2" t="inlineStr">
        <is>
          <t>Trade</t>
        </is>
      </c>
      <c r="C24" s="2" t="n">
        <v>3</v>
      </c>
      <c r="D24" s="2" t="n">
        <v>3</v>
      </c>
      <c r="E24" s="2" t="n">
        <v>2</v>
      </c>
      <c r="F24" s="2" t="n">
        <v>2</v>
      </c>
      <c r="G24" s="2" t="n">
        <v>1</v>
      </c>
    </row>
    <row r="25">
      <c r="A25" s="2" t="inlineStr">
        <is>
          <t>Июнь</t>
        </is>
      </c>
      <c r="B25" s="2" t="inlineStr">
        <is>
          <t>Industrial</t>
        </is>
      </c>
      <c r="C25" s="2" t="n">
        <v>1</v>
      </c>
      <c r="D25" s="2" t="n">
        <v>1</v>
      </c>
      <c r="E25" s="2" t="n">
        <v>1</v>
      </c>
      <c r="F25" s="2" t="n">
        <v>1</v>
      </c>
      <c r="G25" s="2" t="n">
        <v>1</v>
      </c>
    </row>
    <row r="26">
      <c r="A26" s="2" t="inlineStr">
        <is>
          <t>Июль</t>
        </is>
      </c>
      <c r="B26" s="2" t="inlineStr">
        <is>
          <t>HR Service</t>
        </is>
      </c>
      <c r="C26" s="2" t="n">
        <v>140</v>
      </c>
      <c r="D26" s="2" t="n">
        <v>140</v>
      </c>
      <c r="E26" s="2" t="n">
        <v>121</v>
      </c>
      <c r="F26" s="2" t="n">
        <v>187</v>
      </c>
      <c r="G26" s="2" t="n">
        <v>120</v>
      </c>
    </row>
    <row r="27">
      <c r="A27" s="2" t="inlineStr">
        <is>
          <t>Июль</t>
        </is>
      </c>
      <c r="B27" s="2" t="inlineStr">
        <is>
          <t>IT</t>
        </is>
      </c>
      <c r="C27" s="2" t="n">
        <v>13</v>
      </c>
      <c r="D27" s="2" t="n">
        <v>13</v>
      </c>
      <c r="E27" s="2" t="n">
        <v>8</v>
      </c>
      <c r="F27" s="2" t="n">
        <v>18</v>
      </c>
      <c r="G27" s="2" t="n">
        <v>8</v>
      </c>
    </row>
    <row r="28">
      <c r="A28" s="2" t="inlineStr">
        <is>
          <t>Июль</t>
        </is>
      </c>
      <c r="B28" s="2" t="inlineStr">
        <is>
          <t>Trade</t>
        </is>
      </c>
      <c r="C28" s="2" t="n">
        <v>58</v>
      </c>
      <c r="D28" s="2" t="n">
        <v>6</v>
      </c>
      <c r="E28" s="2" t="n">
        <v>4</v>
      </c>
      <c r="F28" s="2" t="n">
        <v>6</v>
      </c>
      <c r="G28" s="2" t="n">
        <v>5</v>
      </c>
    </row>
    <row r="29">
      <c r="A29" s="2" t="inlineStr">
        <is>
          <t>Июль</t>
        </is>
      </c>
      <c r="B29" s="2" t="inlineStr">
        <is>
          <t>Industrial</t>
        </is>
      </c>
      <c r="C29" s="2" t="n">
        <v>1</v>
      </c>
      <c r="D29" s="2" t="n">
        <v>1</v>
      </c>
      <c r="E29" s="2" t="n">
        <v>1</v>
      </c>
      <c r="F29" s="2" t="n">
        <v>1</v>
      </c>
      <c r="G29" s="2" t="n">
        <v>1</v>
      </c>
    </row>
    <row r="30">
      <c r="A30" s="2" t="inlineStr">
        <is>
          <t>Август</t>
        </is>
      </c>
      <c r="B30" s="2" t="inlineStr">
        <is>
          <t>HR Service</t>
        </is>
      </c>
      <c r="C30" s="2" t="n">
        <v>111</v>
      </c>
      <c r="D30" s="2" t="n">
        <v>111</v>
      </c>
      <c r="E30" s="2" t="n">
        <v>80</v>
      </c>
      <c r="F30" s="2" t="n">
        <v>111</v>
      </c>
      <c r="G30" s="2" t="n">
        <v>79</v>
      </c>
    </row>
    <row r="31">
      <c r="A31" s="2" t="inlineStr">
        <is>
          <t>Август</t>
        </is>
      </c>
      <c r="B31" s="2" t="inlineStr">
        <is>
          <t>IT</t>
        </is>
      </c>
      <c r="C31" s="2" t="n">
        <v>13</v>
      </c>
      <c r="D31" s="2" t="n">
        <v>13</v>
      </c>
      <c r="E31" s="2" t="n">
        <v>3</v>
      </c>
      <c r="F31" s="2" t="n">
        <v>13</v>
      </c>
      <c r="G31" s="2" t="n">
        <v>3</v>
      </c>
    </row>
    <row r="32">
      <c r="A32" s="2" t="inlineStr">
        <is>
          <t>Август</t>
        </is>
      </c>
      <c r="B32" s="2" t="inlineStr">
        <is>
          <t>Trade</t>
        </is>
      </c>
      <c r="C32" s="2" t="n">
        <v>11</v>
      </c>
      <c r="D32" s="2" t="n">
        <v>11</v>
      </c>
      <c r="E32" s="2" t="n">
        <v>2</v>
      </c>
      <c r="F32" s="2" t="n">
        <v>11</v>
      </c>
      <c r="G32" s="2" t="n">
        <v>3</v>
      </c>
    </row>
    <row r="33">
      <c r="A33" s="2" t="inlineStr">
        <is>
          <t>Август</t>
        </is>
      </c>
      <c r="B33" s="2" t="inlineStr">
        <is>
          <t>Industrial</t>
        </is>
      </c>
      <c r="C33" s="2" t="n">
        <v>14</v>
      </c>
      <c r="D33" s="2" t="n">
        <v>14</v>
      </c>
      <c r="E33" s="2" t="n">
        <v>10</v>
      </c>
      <c r="F33" s="2" t="n">
        <v>14</v>
      </c>
      <c r="G33" s="2" t="n">
        <v>10</v>
      </c>
    </row>
    <row r="34">
      <c r="A34" s="2" t="inlineStr">
        <is>
          <t>Сентябрь</t>
        </is>
      </c>
      <c r="B34" s="2" t="inlineStr">
        <is>
          <t>HR Service</t>
        </is>
      </c>
      <c r="C34" s="2" t="n">
        <v>139</v>
      </c>
      <c r="D34" s="2" t="n">
        <v>139</v>
      </c>
      <c r="E34" s="2" t="n">
        <v>114</v>
      </c>
      <c r="F34" s="2" t="n">
        <v>141</v>
      </c>
      <c r="G34" s="2" t="n">
        <v>113</v>
      </c>
    </row>
    <row r="35">
      <c r="A35" s="2" t="inlineStr">
        <is>
          <t>Сентябрь</t>
        </is>
      </c>
      <c r="B35" s="2" t="inlineStr">
        <is>
          <t>IT</t>
        </is>
      </c>
      <c r="C35" s="2" t="n">
        <v>32</v>
      </c>
      <c r="D35" s="2" t="n">
        <v>32</v>
      </c>
      <c r="E35" s="2" t="n">
        <v>28</v>
      </c>
      <c r="F35" s="2" t="n">
        <v>32</v>
      </c>
      <c r="G35" s="2" t="n">
        <v>28</v>
      </c>
    </row>
    <row r="36">
      <c r="A36" s="2" t="inlineStr">
        <is>
          <t>Сентябрь</t>
        </is>
      </c>
      <c r="B36" s="2" t="inlineStr">
        <is>
          <t>Trade</t>
        </is>
      </c>
      <c r="C36" s="2" t="n">
        <v>10</v>
      </c>
      <c r="D36" s="2" t="n">
        <v>10</v>
      </c>
      <c r="E36" s="2" t="n">
        <v>3</v>
      </c>
      <c r="F36" s="2" t="n">
        <v>10</v>
      </c>
      <c r="G36" s="2" t="n">
        <v>4</v>
      </c>
    </row>
    <row r="37">
      <c r="A37" s="2" t="inlineStr">
        <is>
          <t>Сентябрь</t>
        </is>
      </c>
      <c r="B37" s="2" t="inlineStr">
        <is>
          <t>Industrial</t>
        </is>
      </c>
      <c r="C37" s="2" t="n">
        <v>2</v>
      </c>
      <c r="D37" s="2" t="n">
        <v>2</v>
      </c>
      <c r="E37" s="2" t="n">
        <v>0</v>
      </c>
      <c r="F37" s="2" t="n">
        <v>2</v>
      </c>
      <c r="G37" s="2" t="n">
        <v>0</v>
      </c>
    </row>
  </sheetData>
  <autoFilter ref="A1:G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8" customWidth="1" min="2" max="2"/>
  </cols>
  <sheetData>
    <row r="1" ht="33" customHeight="1">
      <c r="A1" s="1" t="inlineStr">
        <is>
          <t>Блок</t>
        </is>
      </c>
      <c r="B1" s="1" t="inlineStr">
        <is>
          <t>Правило / источник</t>
        </is>
      </c>
    </row>
    <row r="2" ht="52" customHeight="1">
      <c r="A2" s="2" t="inlineStr">
        <is>
          <t>Контрольные значения 2026</t>
        </is>
      </c>
      <c r="B2" s="2" t="inlineStr">
        <is>
          <t>Общие итоги взяты из согласованного пользователем второго графика. Это не повторный подсчёт всех строк CRM. Исключение: июль входящие+маркетинг исправлен 145 → 134 по Excel.</t>
        </is>
      </c>
    </row>
    <row r="3" ht="52" customHeight="1">
      <c r="A3" s="2" t="inlineStr">
        <is>
          <t>Корректировка июля</t>
        </is>
      </c>
      <c r="B3" s="2" t="inlineStr">
        <is>
          <t>Лист ЛИДЫ ИЮЛЬ, 4 BU, источники Входящий запрос и Маркетинговая активность: HR 121 + IT 8 + Trade 4 + Industrial 1 = 134. Итог III квартала 374.</t>
        </is>
      </c>
    </row>
    <row r="4" ht="52" customHeight="1">
      <c r="A4" s="2" t="inlineStr">
        <is>
          <t>Расчёт BU</t>
        </is>
      </c>
      <c r="B4" s="2" t="inlineStr">
        <is>
          <t>Все источники: контрольный итог распределён пропорционально исходным долям четырёх BU в одноимённом месячном листе. Июль: Trade фиксирован 6, остаток распределён между тремя другими BU. Входящие+маркетинг: отдельное пропорциональное распределение по долям этой категории с ограничением не выше общего числа лидов BU. Округление методом наибольших остатков, порядок при равенстве: HR Service, IT, Trade, Industrial. Все исходные нулевые доли сохраняются. После пропорционального округления применена согласованная поправка Trade +1 и HR Services −1 в каждом месяце III квартала.</t>
        </is>
      </c>
    </row>
    <row r="5" ht="52" customHeight="1">
      <c r="A5" s="2" t="inlineStr">
        <is>
          <t>Trade</t>
        </is>
      </c>
      <c r="B5" s="2" t="inlineStr">
        <is>
          <t>Все источники в июле — строго 6. Исходное значение Excel — 58, поправка пользователя — минус 52.</t>
        </is>
      </c>
    </row>
    <row r="6" ht="52" customHeight="1">
      <c r="A6" s="2" t="inlineStr">
        <is>
          <t>2025</t>
        </is>
      </c>
      <c r="B6" s="2" t="inlineStr">
        <is>
          <t>Лист тотал: B21 = 2025, B22:B33 — помесячный ряд входящие+маркетинг без Go!. III квартал: 95 + 83 + 89 = 267.</t>
        </is>
      </c>
    </row>
    <row r="7" ht="52" customHeight="1">
      <c r="A7" s="2" t="inlineStr">
        <is>
          <t>Рост</t>
        </is>
      </c>
      <c r="B7" s="2" t="inlineStr">
        <is>
          <t>374 / 267 − 1 = 40,0749%; для изображения округлено до +40%.</t>
        </is>
      </c>
    </row>
    <row r="8" ht="52" customHeight="1">
      <c r="A8" s="2" t="inlineStr">
        <is>
          <t>Прогноз</t>
        </is>
      </c>
      <c r="B8" s="2" t="inlineStr">
        <is>
          <t>Октябрь–декабрь: все источники 120 / 100 / 110; входящие+маркетинг 100 / 79 / 88. Сценарные значения сохранены из предыдущего согласованного графика. Это не ряд 2025 и не часть итога января–сентября.</t>
        </is>
      </c>
    </row>
    <row r="9" ht="52" customHeight="1">
      <c r="A9" s="2" t="inlineStr">
        <is>
          <t>Охват</t>
        </is>
      </c>
      <c r="B9" s="2" t="inlineStr">
        <is>
          <t>В расчётной разбивке весь согласованный контроль распределён на 4 BU. Нет утверждения, что это буквальные значения BU в CRM. В исходных листах Excel есть GO и расхождения с контрольными итогами.</t>
        </is>
      </c>
    </row>
    <row r="10" ht="52" customHeight="1">
      <c r="A10" s="2" t="inlineStr">
        <is>
          <t>Проверки</t>
        </is>
      </c>
      <c r="B10" s="2" t="inlineStr">
        <is>
          <t>Сумма BU совпадает с общим рядом каждый месяц; входящие+маркетинг не превышают все источники; квартальные показатели и круговая диаграмма формируются из той же таблицы.</t>
        </is>
      </c>
    </row>
    <row r="11" ht="52" customHeight="1">
      <c r="A11" s="2" t="inlineStr">
        <is>
          <t>Сделки</t>
        </is>
      </c>
      <c r="B11" s="2" t="inlineStr">
        <is>
          <t>Показатели сделок не пересчитывались: эти два изображения относятся к лидам.</t>
        </is>
      </c>
    </row>
    <row r="12" ht="52" customHeight="1">
      <c r="A12" s="2" t="inlineStr">
        <is>
          <t>Увеличение Trade</t>
        </is>
      </c>
      <c r="B12" s="2" t="inlineStr">
        <is>
          <t>По дополнительной просьбе пользователя ряд Trade «входящие+маркетинг» в июле/августе/сентябре увеличен на 1: 4/2/3 → 5/3/4. Для сохранения контрольных итогов в те же месяцы HR Services уменьшен на 1: 121/80/114 → 120/79/113. Это ручная корректировка расчётной разбивки, а не изменение фактических записей CRM.</t>
        </is>
      </c>
    </row>
  </sheetData>
  <autoFilter ref="A1:B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2026-10-29T06:20:13Z</dcterms:created>
  <dcterms:modified xmlns:dcterms="http://purl.org/dc/terms/" xmlns:xsi="http://www.w3.org/2001/XMLSchema-instance" xsi:type="dcterms:W3CDTF">2026-10-29T06:20:13Z</dcterms:modified>
</cp:coreProperties>
</file>