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чёт BU" sheetId="1" state="visible" r:id="rId1"/>
    <sheet xmlns:r="http://schemas.openxmlformats.org/officeDocument/2006/relationships" name="Сверка со скриншотом" sheetId="2" state="visible" r:id="rId2"/>
    <sheet xmlns:r="http://schemas.openxmlformats.org/officeDocument/2006/relationships" name="Поправка и методика" sheetId="3" state="visible" r:id="rId3"/>
    <sheet xmlns:r="http://schemas.openxmlformats.org/officeDocument/2006/relationships" name="Графики BU" sheetId="4" state="visible" r:id="rId4"/>
    <sheet xmlns:r="http://schemas.openxmlformats.org/officeDocument/2006/relationships" name="Доли CRM — основа" sheetId="5" state="visible" r:id="rId5"/>
    <sheet xmlns:r="http://schemas.openxmlformats.org/officeDocument/2006/relationships" name="Расхождение III квартала" sheetId="6" state="visible" r:id="rId6"/>
  </sheets>
  <definedNames>
    <definedName name="_xlnm._FilterDatabase" localSheetId="0" hidden="1">'Расчёт BU'!$A$1:$K$11</definedName>
    <definedName name="_xlnm._FilterDatabase" localSheetId="1" hidden="1">'Сверка со скриншотом'!$A$1:$G$12</definedName>
    <definedName name="_xlnm._FilterDatabase" localSheetId="2" hidden="1">'Поправка и методика'!$A$1:$B$12</definedName>
    <definedName name="_xlnm._FilterDatabase" localSheetId="4" hidden="1">'Доли CRM — основа'!$A$1:$I$37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HR Service</a:t>
            </a:r>
          </a:p>
        </rich>
      </tx>
    </title>
    <plotArea>
      <lineChart>
        <grouping val="standard"/>
        <ser>
          <idx val="0"/>
          <order val="0"/>
          <tx>
            <strRef>
              <f>'Расчёт BU'!B1</f>
            </strRef>
          </tx>
          <spPr>
            <a:ln xmlns:a="http://schemas.openxmlformats.org/drawingml/2006/main">
              <a:solidFill>
                <a:srgbClr val="FF34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'Расчёт BU'!$A$2:$A$10</f>
            </numRef>
          </cat>
          <val>
            <numRef>
              <f>'Расчёт BU'!$B$2:$B$10</f>
            </numRef>
          </val>
        </ser>
        <ser>
          <idx val="1"/>
          <order val="1"/>
          <tx>
            <strRef>
              <f>'Расчёт BU'!C1</f>
            </strRef>
          </tx>
          <spPr>
            <a:ln xmlns:a="http://schemas.openxmlformats.org/drawingml/2006/main">
              <a:solidFill>
                <a:srgbClr val="FFA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'Расчёт BU'!$A$2:$A$10</f>
            </numRef>
          </cat>
          <val>
            <numRef>
              <f>'Расчёт BU'!$C$2:$C$10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Лиды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IT</a:t>
            </a:r>
          </a:p>
        </rich>
      </tx>
    </title>
    <plotArea>
      <lineChart>
        <grouping val="standard"/>
        <ser>
          <idx val="0"/>
          <order val="0"/>
          <tx>
            <strRef>
              <f>'Расчёт BU'!D1</f>
            </strRef>
          </tx>
          <spPr>
            <a:ln xmlns:a="http://schemas.openxmlformats.org/drawingml/2006/main">
              <a:solidFill>
                <a:srgbClr val="FF5B1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'Расчёт BU'!$A$2:$A$10</f>
            </numRef>
          </cat>
          <val>
            <numRef>
              <f>'Расчёт BU'!$D$2:$D$10</f>
            </numRef>
          </val>
        </ser>
        <ser>
          <idx val="1"/>
          <order val="1"/>
          <tx>
            <strRef>
              <f>'Расчёт BU'!E1</f>
            </strRef>
          </tx>
          <spPr>
            <a:ln xmlns:a="http://schemas.openxmlformats.org/drawingml/2006/main">
              <a:solidFill>
                <a:srgbClr val="FFB9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'Расчёт BU'!$A$2:$A$10</f>
            </numRef>
          </cat>
          <val>
            <numRef>
              <f>'Расчёт BU'!$E$2:$E$10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Лиды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</a:t>
            </a:r>
          </a:p>
        </rich>
      </tx>
    </title>
    <plotArea>
      <lineChart>
        <grouping val="standard"/>
        <ser>
          <idx val="0"/>
          <order val="0"/>
          <tx>
            <strRef>
              <f>'Расчёт BU'!F1</f>
            </strRef>
          </tx>
          <spPr>
            <a:ln xmlns:a="http://schemas.openxmlformats.org/drawingml/2006/main">
              <a:solidFill>
                <a:srgbClr val="0BA53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'Расчёт BU'!$A$2:$A$10</f>
            </numRef>
          </cat>
          <val>
            <numRef>
              <f>'Расчёт BU'!$F$2:$F$10</f>
            </numRef>
          </val>
        </ser>
        <ser>
          <idx val="1"/>
          <order val="1"/>
          <tx>
            <strRef>
              <f>'Расчёт BU'!G1</f>
            </strRef>
          </tx>
          <spPr>
            <a:ln xmlns:a="http://schemas.openxmlformats.org/drawingml/2006/main">
              <a:solidFill>
                <a:srgbClr val="9EDCB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'Расчёт BU'!$A$2:$A$10</f>
            </numRef>
          </cat>
          <val>
            <numRef>
              <f>'Расчёт BU'!$G$2:$G$10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Лиды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Industrial</a:t>
            </a:r>
          </a:p>
        </rich>
      </tx>
    </title>
    <plotArea>
      <lineChart>
        <grouping val="standard"/>
        <ser>
          <idx val="0"/>
          <order val="0"/>
          <tx>
            <strRef>
              <f>'Расчёт BU'!H1</f>
            </strRef>
          </tx>
          <spPr>
            <a:ln xmlns:a="http://schemas.openxmlformats.org/drawingml/2006/main">
              <a:solidFill>
                <a:srgbClr val="E9AB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'Расчёт BU'!$A$2:$A$10</f>
            </numRef>
          </cat>
          <val>
            <numRef>
              <f>'Расчёт BU'!$H$2:$H$10</f>
            </numRef>
          </val>
        </ser>
        <ser>
          <idx val="1"/>
          <order val="1"/>
          <tx>
            <strRef>
              <f>'Расчёт BU'!I1</f>
            </strRef>
          </tx>
          <spPr>
            <a:ln xmlns:a="http://schemas.openxmlformats.org/drawingml/2006/main">
              <a:solidFill>
                <a:srgbClr val="F6DA8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'Расчёт BU'!$A$2:$A$10</f>
            </numRef>
          </cat>
          <val>
            <numRef>
              <f>'Расчёт BU'!$I$2:$I$10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Лиды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68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0</row>
      <rowOff>0</rowOff>
    </from>
    <ext cx="68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68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19</row>
      <rowOff>0</rowOff>
    </from>
    <ext cx="684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</cols>
  <sheetData>
    <row r="1" ht="34" customHeight="1">
      <c r="A1" s="1" t="inlineStr">
        <is>
          <t>Месяц</t>
        </is>
      </c>
      <c r="B1" s="1" t="inlineStr">
        <is>
          <t>HR Services — все</t>
        </is>
      </c>
      <c r="C1" s="1" t="inlineStr">
        <is>
          <t>HR Services — вход+марк</t>
        </is>
      </c>
      <c r="D1" s="1" t="inlineStr">
        <is>
          <t>IT — все</t>
        </is>
      </c>
      <c r="E1" s="1" t="inlineStr">
        <is>
          <t>IT — вход+марк</t>
        </is>
      </c>
      <c r="F1" s="1" t="inlineStr">
        <is>
          <t>Trade — все</t>
        </is>
      </c>
      <c r="G1" s="1" t="inlineStr">
        <is>
          <t>Trade — вход+марк</t>
        </is>
      </c>
      <c r="H1" s="1" t="inlineStr">
        <is>
          <t>Industrial — все</t>
        </is>
      </c>
      <c r="I1" s="1" t="inlineStr">
        <is>
          <t>Industrial — вход+марк</t>
        </is>
      </c>
      <c r="J1" s="1" t="inlineStr">
        <is>
          <t>Итого — все</t>
        </is>
      </c>
      <c r="K1" s="1" t="inlineStr">
        <is>
          <t>Итого — вход+марк</t>
        </is>
      </c>
    </row>
    <row r="2">
      <c r="A2" s="2" t="inlineStr">
        <is>
          <t>ЯНВАРЬ</t>
        </is>
      </c>
      <c r="B2" s="2" t="n">
        <v>68</v>
      </c>
      <c r="C2" s="2" t="n">
        <v>32</v>
      </c>
      <c r="D2" s="2" t="n">
        <v>14</v>
      </c>
      <c r="E2" s="2" t="n">
        <v>10</v>
      </c>
      <c r="F2" s="2" t="n">
        <v>5</v>
      </c>
      <c r="G2" s="2" t="n">
        <v>3</v>
      </c>
      <c r="H2" s="2" t="n">
        <v>3</v>
      </c>
      <c r="I2" s="2" t="n">
        <v>2</v>
      </c>
      <c r="J2" s="2">
        <f>SUM(B2,D2,F2,H2)</f>
        <v/>
      </c>
      <c r="K2" s="2">
        <f>SUM(C2,E2,G2,I2)</f>
        <v/>
      </c>
    </row>
    <row r="3">
      <c r="A3" s="2" t="inlineStr">
        <is>
          <t>ФЕВРАЛЬ</t>
        </is>
      </c>
      <c r="B3" s="2" t="n">
        <v>103</v>
      </c>
      <c r="C3" s="2" t="n">
        <v>51</v>
      </c>
      <c r="D3" s="2" t="n">
        <v>6</v>
      </c>
      <c r="E3" s="2" t="n">
        <v>4</v>
      </c>
      <c r="F3" s="2" t="n">
        <v>7</v>
      </c>
      <c r="G3" s="2" t="n">
        <v>2</v>
      </c>
      <c r="H3" s="2" t="n">
        <v>4</v>
      </c>
      <c r="I3" s="2" t="n">
        <v>2</v>
      </c>
      <c r="J3" s="2">
        <f>SUM(B3,D3,F3,H3)</f>
        <v/>
      </c>
      <c r="K3" s="2">
        <f>SUM(C3,E3,G3,I3)</f>
        <v/>
      </c>
    </row>
    <row r="4">
      <c r="A4" s="2" t="inlineStr">
        <is>
          <t>МАРТ</t>
        </is>
      </c>
      <c r="B4" s="2" t="n">
        <v>104</v>
      </c>
      <c r="C4" s="2" t="n">
        <v>68</v>
      </c>
      <c r="D4" s="2" t="n">
        <v>46</v>
      </c>
      <c r="E4" s="2" t="n">
        <v>32</v>
      </c>
      <c r="F4" s="2" t="n">
        <v>3</v>
      </c>
      <c r="G4" s="2" t="n">
        <v>0</v>
      </c>
      <c r="H4" s="2" t="n">
        <v>1</v>
      </c>
      <c r="I4" s="2" t="n">
        <v>0</v>
      </c>
      <c r="J4" s="2">
        <f>SUM(B4,D4,F4,H4)</f>
        <v/>
      </c>
      <c r="K4" s="2">
        <f>SUM(C4,E4,G4,I4)</f>
        <v/>
      </c>
    </row>
    <row r="5">
      <c r="A5" s="2" t="inlineStr">
        <is>
          <t>АПРЕЛЬ</t>
        </is>
      </c>
      <c r="B5" s="2" t="n">
        <v>83</v>
      </c>
      <c r="C5" s="2" t="n">
        <v>62</v>
      </c>
      <c r="D5" s="2" t="n">
        <v>19</v>
      </c>
      <c r="E5" s="2" t="n">
        <v>14</v>
      </c>
      <c r="F5" s="2" t="n">
        <v>8</v>
      </c>
      <c r="G5" s="2" t="n">
        <v>5</v>
      </c>
      <c r="H5" s="2" t="n">
        <v>0</v>
      </c>
      <c r="I5" s="2" t="n">
        <v>0</v>
      </c>
      <c r="J5" s="2">
        <f>SUM(B5,D5,F5,H5)</f>
        <v/>
      </c>
      <c r="K5" s="2">
        <f>SUM(C5,E5,G5,I5)</f>
        <v/>
      </c>
    </row>
    <row r="6">
      <c r="A6" s="2" t="inlineStr">
        <is>
          <t>МАЙ</t>
        </is>
      </c>
      <c r="B6" s="2" t="n">
        <v>93</v>
      </c>
      <c r="C6" s="2" t="n">
        <v>70</v>
      </c>
      <c r="D6" s="2" t="n">
        <v>40</v>
      </c>
      <c r="E6" s="2" t="n">
        <v>18</v>
      </c>
      <c r="F6" s="2" t="n">
        <v>5</v>
      </c>
      <c r="G6" s="2" t="n">
        <v>4</v>
      </c>
      <c r="H6" s="2" t="n">
        <v>0</v>
      </c>
      <c r="I6" s="2" t="n">
        <v>0</v>
      </c>
      <c r="J6" s="2">
        <f>SUM(B6,D6,F6,H6)</f>
        <v/>
      </c>
      <c r="K6" s="2">
        <f>SUM(C6,E6,G6,I6)</f>
        <v/>
      </c>
    </row>
    <row r="7">
      <c r="A7" s="2" t="inlineStr">
        <is>
          <t>ИЮНЬ</t>
        </is>
      </c>
      <c r="B7" s="2" t="n">
        <v>154</v>
      </c>
      <c r="C7" s="2" t="n">
        <v>116</v>
      </c>
      <c r="D7" s="2" t="n">
        <v>19</v>
      </c>
      <c r="E7" s="2" t="n">
        <v>16</v>
      </c>
      <c r="F7" s="2" t="n">
        <v>2</v>
      </c>
      <c r="G7" s="2" t="n">
        <v>1</v>
      </c>
      <c r="H7" s="2" t="n">
        <v>1</v>
      </c>
      <c r="I7" s="2" t="n">
        <v>1</v>
      </c>
      <c r="J7" s="2">
        <f>SUM(B7,D7,F7,H7)</f>
        <v/>
      </c>
      <c r="K7" s="2">
        <f>SUM(C7,E7,G7,I7)</f>
        <v/>
      </c>
    </row>
    <row r="8">
      <c r="A8" s="2" t="inlineStr">
        <is>
          <t>ИЮЛЬ</t>
        </is>
      </c>
      <c r="B8" s="2" t="n">
        <v>187</v>
      </c>
      <c r="C8" s="2" t="n">
        <v>131</v>
      </c>
      <c r="D8" s="2" t="n">
        <v>18</v>
      </c>
      <c r="E8" s="2" t="n">
        <v>9</v>
      </c>
      <c r="F8" s="2" t="n">
        <v>6</v>
      </c>
      <c r="G8" s="2" t="n">
        <v>4</v>
      </c>
      <c r="H8" s="2" t="n">
        <v>1</v>
      </c>
      <c r="I8" s="2" t="n">
        <v>1</v>
      </c>
      <c r="J8" s="2">
        <f>SUM(B8,D8,F8,H8)</f>
        <v/>
      </c>
      <c r="K8" s="2">
        <f>SUM(C8,E8,G8,I8)</f>
        <v/>
      </c>
    </row>
    <row r="9">
      <c r="A9" s="2" t="inlineStr">
        <is>
          <t>АВГУСТ</t>
        </is>
      </c>
      <c r="B9" s="2" t="n">
        <v>111</v>
      </c>
      <c r="C9" s="2" t="n">
        <v>80</v>
      </c>
      <c r="D9" s="2" t="n">
        <v>13</v>
      </c>
      <c r="E9" s="2" t="n">
        <v>3</v>
      </c>
      <c r="F9" s="2" t="n">
        <v>11</v>
      </c>
      <c r="G9" s="2" t="n">
        <v>2</v>
      </c>
      <c r="H9" s="2" t="n">
        <v>14</v>
      </c>
      <c r="I9" s="2" t="n">
        <v>10</v>
      </c>
      <c r="J9" s="2">
        <f>SUM(B9,D9,F9,H9)</f>
        <v/>
      </c>
      <c r="K9" s="2">
        <f>SUM(C9,E9,G9,I9)</f>
        <v/>
      </c>
    </row>
    <row r="10">
      <c r="A10" s="2" t="inlineStr">
        <is>
          <t>СЕНТЯБРЬ</t>
        </is>
      </c>
      <c r="B10" s="2" t="n">
        <v>141</v>
      </c>
      <c r="C10" s="2" t="n">
        <v>114</v>
      </c>
      <c r="D10" s="2" t="n">
        <v>32</v>
      </c>
      <c r="E10" s="2" t="n">
        <v>28</v>
      </c>
      <c r="F10" s="2" t="n">
        <v>10</v>
      </c>
      <c r="G10" s="2" t="n">
        <v>3</v>
      </c>
      <c r="H10" s="2" t="n">
        <v>2</v>
      </c>
      <c r="I10" s="2" t="n">
        <v>0</v>
      </c>
      <c r="J10" s="2">
        <f>SUM(B10,D10,F10,H10)</f>
        <v/>
      </c>
      <c r="K10" s="2">
        <f>SUM(C10,E10,G10,I10)</f>
        <v/>
      </c>
    </row>
    <row r="11">
      <c r="A11" s="2" t="inlineStr">
        <is>
          <t>ИТОГО</t>
        </is>
      </c>
      <c r="B11" s="2">
        <f>SUM(B2:B10)</f>
        <v/>
      </c>
      <c r="C11" s="2">
        <f>SUM(C2:C10)</f>
        <v/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</row>
  </sheetData>
  <autoFilter ref="A1:K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</cols>
  <sheetData>
    <row r="1" ht="34" customHeight="1">
      <c r="A1" s="1" t="inlineStr">
        <is>
          <t>Месяц</t>
        </is>
      </c>
      <c r="B1" s="1" t="inlineStr">
        <is>
          <t>Расчёт BU: все</t>
        </is>
      </c>
      <c r="C1" s="1" t="inlineStr">
        <is>
          <t>Скриншот: все</t>
        </is>
      </c>
      <c r="D1" s="1" t="inlineStr">
        <is>
          <t>Разница</t>
        </is>
      </c>
      <c r="E1" s="1" t="inlineStr">
        <is>
          <t>Расчёт BU: вход+марк</t>
        </is>
      </c>
      <c r="F1" s="1" t="inlineStr">
        <is>
          <t>Скриншот: вход+марк</t>
        </is>
      </c>
      <c r="G1" s="1" t="inlineStr">
        <is>
          <t>Разница</t>
        </is>
      </c>
    </row>
    <row r="2">
      <c r="A2" s="2" t="inlineStr">
        <is>
          <t>ЯНВАРЬ</t>
        </is>
      </c>
      <c r="B2" s="2">
        <f>'Расчёт BU'!J2</f>
        <v/>
      </c>
      <c r="C2" s="2" t="n">
        <v>90</v>
      </c>
      <c r="D2" s="2">
        <f>B2-C2</f>
        <v/>
      </c>
      <c r="E2" s="2">
        <f>'Расчёт BU'!K2</f>
        <v/>
      </c>
      <c r="F2" s="2" t="n">
        <v>47</v>
      </c>
      <c r="G2" s="2">
        <f>E2-F2</f>
        <v/>
      </c>
    </row>
    <row r="3">
      <c r="A3" s="2" t="inlineStr">
        <is>
          <t>ФЕВРАЛЬ</t>
        </is>
      </c>
      <c r="B3" s="2">
        <f>'Расчёт BU'!J3</f>
        <v/>
      </c>
      <c r="C3" s="2" t="n">
        <v>120</v>
      </c>
      <c r="D3" s="2">
        <f>B3-C3</f>
        <v/>
      </c>
      <c r="E3" s="2">
        <f>'Расчёт BU'!K3</f>
        <v/>
      </c>
      <c r="F3" s="2" t="n">
        <v>59</v>
      </c>
      <c r="G3" s="2">
        <f>E3-F3</f>
        <v/>
      </c>
    </row>
    <row r="4">
      <c r="A4" s="2" t="inlineStr">
        <is>
          <t>МАРТ</t>
        </is>
      </c>
      <c r="B4" s="2">
        <f>'Расчёт BU'!J4</f>
        <v/>
      </c>
      <c r="C4" s="2" t="n">
        <v>154</v>
      </c>
      <c r="D4" s="2">
        <f>B4-C4</f>
        <v/>
      </c>
      <c r="E4" s="2">
        <f>'Расчёт BU'!K4</f>
        <v/>
      </c>
      <c r="F4" s="2" t="n">
        <v>100</v>
      </c>
      <c r="G4" s="2">
        <f>E4-F4</f>
        <v/>
      </c>
    </row>
    <row r="5">
      <c r="A5" s="2" t="inlineStr">
        <is>
          <t>АПРЕЛЬ</t>
        </is>
      </c>
      <c r="B5" s="2">
        <f>'Расчёт BU'!J5</f>
        <v/>
      </c>
      <c r="C5" s="2" t="n">
        <v>110</v>
      </c>
      <c r="D5" s="2">
        <f>B5-C5</f>
        <v/>
      </c>
      <c r="E5" s="2">
        <f>'Расчёт BU'!K5</f>
        <v/>
      </c>
      <c r="F5" s="2" t="n">
        <v>81</v>
      </c>
      <c r="G5" s="2">
        <f>E5-F5</f>
        <v/>
      </c>
    </row>
    <row r="6">
      <c r="A6" s="2" t="inlineStr">
        <is>
          <t>МАЙ</t>
        </is>
      </c>
      <c r="B6" s="2">
        <f>'Расчёт BU'!J6</f>
        <v/>
      </c>
      <c r="C6" s="2" t="n">
        <v>138</v>
      </c>
      <c r="D6" s="2">
        <f>B6-C6</f>
        <v/>
      </c>
      <c r="E6" s="2">
        <f>'Расчёт BU'!K6</f>
        <v/>
      </c>
      <c r="F6" s="2" t="n">
        <v>92</v>
      </c>
      <c r="G6" s="2">
        <f>E6-F6</f>
        <v/>
      </c>
    </row>
    <row r="7">
      <c r="A7" s="2" t="inlineStr">
        <is>
          <t>ИЮНЬ</t>
        </is>
      </c>
      <c r="B7" s="2">
        <f>'Расчёт BU'!J7</f>
        <v/>
      </c>
      <c r="C7" s="2" t="n">
        <v>176</v>
      </c>
      <c r="D7" s="2">
        <f>B7-C7</f>
        <v/>
      </c>
      <c r="E7" s="2">
        <f>'Расчёт BU'!K7</f>
        <v/>
      </c>
      <c r="F7" s="2" t="n">
        <v>134</v>
      </c>
      <c r="G7" s="2">
        <f>E7-F7</f>
        <v/>
      </c>
    </row>
    <row r="8">
      <c r="A8" s="2" t="inlineStr">
        <is>
          <t>ИЮЛЬ</t>
        </is>
      </c>
      <c r="B8" s="2">
        <f>'Расчёт BU'!J8</f>
        <v/>
      </c>
      <c r="C8" s="2" t="n">
        <v>212</v>
      </c>
      <c r="D8" s="2">
        <f>B8-C8</f>
        <v/>
      </c>
      <c r="E8" s="2">
        <f>'Расчёт BU'!K8</f>
        <v/>
      </c>
      <c r="F8" s="2" t="n">
        <v>145</v>
      </c>
      <c r="G8" s="2">
        <f>E8-F8</f>
        <v/>
      </c>
    </row>
    <row r="9">
      <c r="A9" s="2" t="inlineStr">
        <is>
          <t>АВГУСТ</t>
        </is>
      </c>
      <c r="B9" s="2">
        <f>'Расчёт BU'!J9</f>
        <v/>
      </c>
      <c r="C9" s="2" t="n">
        <v>149</v>
      </c>
      <c r="D9" s="2">
        <f>B9-C9</f>
        <v/>
      </c>
      <c r="E9" s="2">
        <f>'Расчёт BU'!K9</f>
        <v/>
      </c>
      <c r="F9" s="2" t="n">
        <v>95</v>
      </c>
      <c r="G9" s="2">
        <f>E9-F9</f>
        <v/>
      </c>
    </row>
    <row r="10">
      <c r="A10" s="2" t="inlineStr">
        <is>
          <t>СЕНТЯБРЬ</t>
        </is>
      </c>
      <c r="B10" s="2">
        <f>'Расчёт BU'!J10</f>
        <v/>
      </c>
      <c r="C10" s="2" t="n">
        <v>185</v>
      </c>
      <c r="D10" s="2">
        <f>B10-C10</f>
        <v/>
      </c>
      <c r="E10" s="2">
        <f>'Расчёт BU'!K10</f>
        <v/>
      </c>
      <c r="F10" s="2" t="n">
        <v>145</v>
      </c>
      <c r="G10" s="2">
        <f>E10-F10</f>
        <v/>
      </c>
    </row>
    <row r="11">
      <c r="A11" s="2" t="inlineStr">
        <is>
          <t>III квартал</t>
        </is>
      </c>
      <c r="B11" s="2">
        <f>SUM(B8:B10)</f>
        <v/>
      </c>
      <c r="C11" s="2">
        <f>SUM(C8:C10)</f>
        <v/>
      </c>
      <c r="D11" s="2">
        <f>B11-C11</f>
        <v/>
      </c>
      <c r="E11" s="2">
        <f>SUM(E8:E10)</f>
        <v/>
      </c>
      <c r="F11" s="2">
        <f>SUM(F8:F10)</f>
        <v/>
      </c>
      <c r="G11" s="2">
        <f>E11-F11</f>
        <v/>
      </c>
    </row>
    <row r="12">
      <c r="A12" s="2" t="inlineStr">
        <is>
          <t>Карточка и BU-кольцо на втором скриншоте: 374 входящих+маркетинговых лида; оранжевая линия июля–сентября даёт 385.</t>
        </is>
      </c>
      <c r="B12" s="2" t="n"/>
      <c r="C12" s="2" t="n"/>
      <c r="D12" s="2" t="n"/>
      <c r="E12" s="2" t="n"/>
      <c r="F12" s="2" t="n"/>
      <c r="G12" s="2" t="n"/>
    </row>
  </sheetData>
  <autoFilter ref="A1:G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15" customWidth="1" min="2" max="2"/>
  </cols>
  <sheetData>
    <row r="1" ht="34" customHeight="1">
      <c r="A1" s="1" t="inlineStr">
        <is>
          <t>Поле</t>
        </is>
      </c>
      <c r="B1" s="1" t="inlineStr">
        <is>
          <t>Значение</t>
        </is>
      </c>
    </row>
    <row r="2" ht="40" customHeight="1">
      <c r="A2" s="2" t="inlineStr">
        <is>
          <t>Статус</t>
        </is>
      </c>
      <c r="B2" s="2" t="inlineStr">
        <is>
          <t>Согласованный расчёт. Контроль — помесячные линии второго скриншота. Значения не являются фактическими количествами CRM.</t>
        </is>
      </c>
    </row>
    <row r="3" ht="40" customHeight="1">
      <c r="A3" s="2" t="inlineStr">
        <is>
          <t>Метод расчёта</t>
        </is>
      </c>
      <c r="B3" s="2" t="inlineStr">
        <is>
          <t>Все источники: контрольный итог распределён пропорционально исходным долям четырёх BU в одноимённом месячном листе. Июль: Trade фиксирован 6, остаток распределён между тремя другими BU. Входящие+маркетинг: отдельное пропорциональное распределение по долям этой категории с ограничением не выше общего числа лидов BU. Округление методом наибольших остатков, порядок при равенстве: HR Service, IT, Trade, Industrial. Все исходные нулевые доли сохраняются.</t>
        </is>
      </c>
    </row>
    <row r="4" ht="40" customHeight="1">
      <c r="A4" s="2" t="inlineStr">
        <is>
          <t>Ручная поправка</t>
        </is>
      </c>
      <c r="B4" s="2" t="inlineStr">
        <is>
          <t>Trade, июль, все источники: 58 → 6. Входящие+маркетинг: 4, без изменения.</t>
        </is>
      </c>
    </row>
    <row r="5" ht="40" customHeight="1">
      <c r="A5" s="2" t="inlineStr">
        <is>
          <t>Правило 1</t>
        </is>
      </c>
      <c r="B5" s="2" t="inlineStr">
        <is>
          <t>Подсчёт по одноимённым помесячным листам; своды и листы сделок не суммируются с лидами.</t>
        </is>
      </c>
    </row>
    <row r="6" ht="40" customHeight="1">
      <c r="A6" s="2" t="inlineStr">
        <is>
          <t>Правило 2</t>
        </is>
      </c>
      <c r="B6" s="2" t="inlineStr">
        <is>
          <t>Единица подсчёта — непустая строка с названием лида; дедупликация без идентификаторов не выполнялась.</t>
        </is>
      </c>
    </row>
    <row r="7" ht="40" customHeight="1">
      <c r="A7" s="2" t="inlineStr">
        <is>
          <t>Правило 3</t>
        </is>
      </c>
      <c r="B7" s="2" t="inlineStr">
        <is>
          <t>Месяц определяется названием листа; в марте есть 7 дат апреля, в июле 19 строк без даты.</t>
        </is>
      </c>
    </row>
    <row r="8" ht="40" customHeight="1">
      <c r="A8" s="2" t="inlineStr">
        <is>
          <t>Правило 4</t>
        </is>
      </c>
      <c r="B8" s="2" t="inlineStr">
        <is>
          <t>Включены только HR Service, IT, Trade, Industrial. GO отдельно и не входит в четыре BU.</t>
        </is>
      </c>
    </row>
    <row r="9" ht="40" customHeight="1">
      <c r="A9" s="2" t="inlineStr">
        <is>
          <t>Правило 5</t>
        </is>
      </c>
      <c r="B9" s="2" t="inlineStr">
        <is>
          <t>Входящие + маркетинг: точные значения Источник после удаления пробелов: Входящий запрос / Маркетинговая активность.</t>
        </is>
      </c>
    </row>
    <row r="10" ht="40" customHeight="1">
      <c r="A10" s="2" t="inlineStr">
        <is>
          <t>Правило 6</t>
        </is>
      </c>
      <c r="B10" s="2" t="inlineStr">
        <is>
          <t>Единственная ручная поправка: Trade, июль, все источники — 58 → 6; входящие + маркетинг остаются 4.</t>
        </is>
      </c>
    </row>
    <row r="11" ht="40" customHeight="1">
      <c r="A11" s="2" t="inlineStr">
        <is>
          <t>Правило 7</t>
        </is>
      </c>
      <c r="B11" s="2" t="inlineStr">
        <is>
          <t>Общий график на скриншоте: июль входящие + маркетинг 145, но исходный Excel даёт 134; карточка и кольцо за III квартал 374 совпадают с Excel.</t>
        </is>
      </c>
    </row>
    <row r="12" ht="40" customHeight="1">
      <c r="A12" s="2" t="inlineStr">
        <is>
          <t>Без произвольного распределения</t>
        </is>
      </c>
      <c r="B12" s="2" t="inlineStr">
        <is>
          <t>Контрольный общий итог распределён по долям CRM. В июле Trade фиксирован 6; остальные три BU получили остаток до контрольного значения 212.</t>
        </is>
      </c>
    </row>
  </sheetData>
  <autoFilter ref="A1:B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Месяц</t>
        </is>
      </c>
      <c r="B1" s="1" t="inlineStr">
        <is>
          <t>BU</t>
        </is>
      </c>
      <c r="C1" s="1" t="inlineStr">
        <is>
          <t>Все: исходный Excel</t>
        </is>
      </c>
      <c r="D1" s="1" t="inlineStr">
        <is>
          <t>Все: после поправки</t>
        </is>
      </c>
      <c r="E1" s="1" t="inlineStr">
        <is>
          <t>Вход+марк: Excel</t>
        </is>
      </c>
      <c r="F1" s="1" t="inlineStr">
        <is>
          <t>Доля для всех, %</t>
        </is>
      </c>
      <c r="G1" s="1" t="inlineStr">
        <is>
          <t>Доля вход+марк, %</t>
        </is>
      </c>
      <c r="H1" s="1" t="inlineStr">
        <is>
          <t>Расчёт всех до округления</t>
        </is>
      </c>
      <c r="I1" s="1" t="inlineStr">
        <is>
          <t>Расчёт вход+марк до округления</t>
        </is>
      </c>
    </row>
    <row r="2">
      <c r="A2" t="inlineStr">
        <is>
          <t>ЯНВАРЬ</t>
        </is>
      </c>
      <c r="B2" t="inlineStr">
        <is>
          <t>HR Service</t>
        </is>
      </c>
      <c r="C2" t="n">
        <v>60</v>
      </c>
      <c r="D2" t="n">
        <v>60</v>
      </c>
      <c r="E2" t="n">
        <v>36</v>
      </c>
      <c r="F2" t="n">
        <v>75.9493670886076</v>
      </c>
      <c r="G2" t="n">
        <v>67.9245283018868</v>
      </c>
      <c r="H2" t="n">
        <v>68.35443037974683</v>
      </c>
      <c r="I2" t="n">
        <v>31.92452830188679</v>
      </c>
    </row>
    <row r="3">
      <c r="A3" t="inlineStr">
        <is>
          <t>ЯНВАРЬ</t>
        </is>
      </c>
      <c r="B3" t="inlineStr">
        <is>
          <t>IT</t>
        </is>
      </c>
      <c r="C3" t="n">
        <v>12</v>
      </c>
      <c r="D3" t="n">
        <v>12</v>
      </c>
      <c r="E3" t="n">
        <v>11</v>
      </c>
      <c r="F3" t="n">
        <v>15.18987341772152</v>
      </c>
      <c r="G3" t="n">
        <v>20.75471698113208</v>
      </c>
      <c r="H3" t="n">
        <v>13.67088607594937</v>
      </c>
      <c r="I3" t="n">
        <v>9.754716981132075</v>
      </c>
    </row>
    <row r="4">
      <c r="A4" t="inlineStr">
        <is>
          <t>ЯНВАРЬ</t>
        </is>
      </c>
      <c r="B4" t="inlineStr">
        <is>
          <t>Trade</t>
        </is>
      </c>
      <c r="C4" t="n">
        <v>4</v>
      </c>
      <c r="D4" t="n">
        <v>4</v>
      </c>
      <c r="E4" t="n">
        <v>3</v>
      </c>
      <c r="F4" t="n">
        <v>5.063291139240507</v>
      </c>
      <c r="G4" t="n">
        <v>5.660377358490567</v>
      </c>
      <c r="H4" t="n">
        <v>4.556962025316456</v>
      </c>
      <c r="I4" t="n">
        <v>2.660377358490566</v>
      </c>
    </row>
    <row r="5">
      <c r="A5" t="inlineStr">
        <is>
          <t>ЯНВАРЬ</t>
        </is>
      </c>
      <c r="B5" t="inlineStr">
        <is>
          <t>Industrial</t>
        </is>
      </c>
      <c r="C5" t="n">
        <v>3</v>
      </c>
      <c r="D5" t="n">
        <v>3</v>
      </c>
      <c r="E5" t="n">
        <v>3</v>
      </c>
      <c r="F5" t="n">
        <v>3.79746835443038</v>
      </c>
      <c r="G5" t="n">
        <v>5.660377358490567</v>
      </c>
      <c r="H5" t="n">
        <v>3.417721518987342</v>
      </c>
      <c r="I5" t="n">
        <v>2.660377358490566</v>
      </c>
    </row>
    <row r="6">
      <c r="A6" t="inlineStr">
        <is>
          <t>ФЕВРАЛЬ</t>
        </is>
      </c>
      <c r="B6" t="inlineStr">
        <is>
          <t>HR Service</t>
        </is>
      </c>
      <c r="C6" t="n">
        <v>84</v>
      </c>
      <c r="D6" t="n">
        <v>84</v>
      </c>
      <c r="E6" t="n">
        <v>56</v>
      </c>
      <c r="F6" t="n">
        <v>85.71428571428571</v>
      </c>
      <c r="G6" t="n">
        <v>87.5</v>
      </c>
      <c r="H6" t="n">
        <v>102.8571428571429</v>
      </c>
      <c r="I6" t="n">
        <v>51.625</v>
      </c>
    </row>
    <row r="7">
      <c r="A7" t="inlineStr">
        <is>
          <t>ФЕВРАЛЬ</t>
        </is>
      </c>
      <c r="B7" t="inlineStr">
        <is>
          <t>IT</t>
        </is>
      </c>
      <c r="C7" t="n">
        <v>5</v>
      </c>
      <c r="D7" t="n">
        <v>5</v>
      </c>
      <c r="E7" t="n">
        <v>4</v>
      </c>
      <c r="F7" t="n">
        <v>5.102040816326531</v>
      </c>
      <c r="G7" t="n">
        <v>6.25</v>
      </c>
      <c r="H7" t="n">
        <v>6.122448979591836</v>
      </c>
      <c r="I7" t="n">
        <v>3.6875</v>
      </c>
    </row>
    <row r="8">
      <c r="A8" t="inlineStr">
        <is>
          <t>ФЕВРАЛЬ</t>
        </is>
      </c>
      <c r="B8" t="inlineStr">
        <is>
          <t>Trade</t>
        </is>
      </c>
      <c r="C8" t="n">
        <v>6</v>
      </c>
      <c r="D8" t="n">
        <v>6</v>
      </c>
      <c r="E8" t="n">
        <v>2</v>
      </c>
      <c r="F8" t="n">
        <v>6.122448979591836</v>
      </c>
      <c r="G8" t="n">
        <v>3.125</v>
      </c>
      <c r="H8" t="n">
        <v>7.346938775510204</v>
      </c>
      <c r="I8" t="n">
        <v>1.84375</v>
      </c>
    </row>
    <row r="9">
      <c r="A9" t="inlineStr">
        <is>
          <t>ФЕВРАЛЬ</t>
        </is>
      </c>
      <c r="B9" t="inlineStr">
        <is>
          <t>Industrial</t>
        </is>
      </c>
      <c r="C9" t="n">
        <v>3</v>
      </c>
      <c r="D9" t="n">
        <v>3</v>
      </c>
      <c r="E9" t="n">
        <v>2</v>
      </c>
      <c r="F9" t="n">
        <v>3.061224489795918</v>
      </c>
      <c r="G9" t="n">
        <v>3.125</v>
      </c>
      <c r="H9" t="n">
        <v>3.673469387755102</v>
      </c>
      <c r="I9" t="n">
        <v>1.84375</v>
      </c>
    </row>
    <row r="10">
      <c r="A10" t="inlineStr">
        <is>
          <t>МАРТ</t>
        </is>
      </c>
      <c r="B10" t="inlineStr">
        <is>
          <t>HR Service</t>
        </is>
      </c>
      <c r="C10" t="n">
        <v>96</v>
      </c>
      <c r="D10" t="n">
        <v>96</v>
      </c>
      <c r="E10" t="n">
        <v>75</v>
      </c>
      <c r="F10" t="n">
        <v>67.6056338028169</v>
      </c>
      <c r="G10" t="n">
        <v>68.18181818181817</v>
      </c>
      <c r="H10" t="n">
        <v>104.112676056338</v>
      </c>
      <c r="I10" t="n">
        <v>68.18181818181819</v>
      </c>
    </row>
    <row r="11">
      <c r="A11" t="inlineStr">
        <is>
          <t>МАРТ</t>
        </is>
      </c>
      <c r="B11" t="inlineStr">
        <is>
          <t>IT</t>
        </is>
      </c>
      <c r="C11" t="n">
        <v>42</v>
      </c>
      <c r="D11" t="n">
        <v>42</v>
      </c>
      <c r="E11" t="n">
        <v>35</v>
      </c>
      <c r="F11" t="n">
        <v>29.57746478873239</v>
      </c>
      <c r="G11" t="n">
        <v>31.81818181818182</v>
      </c>
      <c r="H11" t="n">
        <v>45.54929577464789</v>
      </c>
      <c r="I11" t="n">
        <v>31.81818181818182</v>
      </c>
    </row>
    <row r="12">
      <c r="A12" t="inlineStr">
        <is>
          <t>МАРТ</t>
        </is>
      </c>
      <c r="B12" t="inlineStr">
        <is>
          <t>Trade</t>
        </is>
      </c>
      <c r="C12" t="n">
        <v>3</v>
      </c>
      <c r="D12" t="n">
        <v>3</v>
      </c>
      <c r="E12" t="n">
        <v>0</v>
      </c>
      <c r="F12" t="n">
        <v>2.112676056338028</v>
      </c>
      <c r="G12" t="n">
        <v>0</v>
      </c>
      <c r="H12" t="n">
        <v>3.253521126760563</v>
      </c>
      <c r="I12" t="n">
        <v>0</v>
      </c>
    </row>
    <row r="13">
      <c r="A13" t="inlineStr">
        <is>
          <t>МАРТ</t>
        </is>
      </c>
      <c r="B13" t="inlineStr">
        <is>
          <t>Industrial</t>
        </is>
      </c>
      <c r="C13" t="n">
        <v>1</v>
      </c>
      <c r="D13" t="n">
        <v>1</v>
      </c>
      <c r="E13" t="n">
        <v>0</v>
      </c>
      <c r="F13" t="n">
        <v>0.7042253521126761</v>
      </c>
      <c r="G13" t="n">
        <v>0</v>
      </c>
      <c r="H13" t="n">
        <v>1.084507042253521</v>
      </c>
      <c r="I13" t="n">
        <v>0</v>
      </c>
    </row>
    <row r="14">
      <c r="A14" t="inlineStr">
        <is>
          <t>АПРЕЛЬ</t>
        </is>
      </c>
      <c r="B14" t="inlineStr">
        <is>
          <t>HR Service</t>
        </is>
      </c>
      <c r="C14" t="n">
        <v>114</v>
      </c>
      <c r="D14" t="n">
        <v>114</v>
      </c>
      <c r="E14" t="n">
        <v>76</v>
      </c>
      <c r="F14" t="n">
        <v>75.49668874172185</v>
      </c>
      <c r="G14" t="n">
        <v>76.76767676767676</v>
      </c>
      <c r="H14" t="n">
        <v>83.04635761589404</v>
      </c>
      <c r="I14" t="n">
        <v>62.18181818181818</v>
      </c>
    </row>
    <row r="15">
      <c r="A15" t="inlineStr">
        <is>
          <t>АПРЕЛЬ</t>
        </is>
      </c>
      <c r="B15" t="inlineStr">
        <is>
          <t>IT</t>
        </is>
      </c>
      <c r="C15" t="n">
        <v>26</v>
      </c>
      <c r="D15" t="n">
        <v>26</v>
      </c>
      <c r="E15" t="n">
        <v>17</v>
      </c>
      <c r="F15" t="n">
        <v>17.21854304635762</v>
      </c>
      <c r="G15" t="n">
        <v>17.17171717171717</v>
      </c>
      <c r="H15" t="n">
        <v>18.94039735099338</v>
      </c>
      <c r="I15" t="n">
        <v>13.90909090909091</v>
      </c>
    </row>
    <row r="16">
      <c r="A16" t="inlineStr">
        <is>
          <t>АПРЕЛЬ</t>
        </is>
      </c>
      <c r="B16" t="inlineStr">
        <is>
          <t>Trade</t>
        </is>
      </c>
      <c r="C16" t="n">
        <v>11</v>
      </c>
      <c r="D16" t="n">
        <v>11</v>
      </c>
      <c r="E16" t="n">
        <v>6</v>
      </c>
      <c r="F16" t="n">
        <v>7.28476821192053</v>
      </c>
      <c r="G16" t="n">
        <v>6.060606060606061</v>
      </c>
      <c r="H16" t="n">
        <v>8.013245033112582</v>
      </c>
      <c r="I16" t="n">
        <v>4.909090909090909</v>
      </c>
    </row>
    <row r="17">
      <c r="A17" t="inlineStr">
        <is>
          <t>АПРЕЛЬ</t>
        </is>
      </c>
      <c r="B17" t="inlineStr">
        <is>
          <t>Industrial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МАЙ</t>
        </is>
      </c>
      <c r="B18" t="inlineStr">
        <is>
          <t>HR Service</t>
        </is>
      </c>
      <c r="C18" t="n">
        <v>52</v>
      </c>
      <c r="D18" t="n">
        <v>52</v>
      </c>
      <c r="E18" t="n">
        <v>39</v>
      </c>
      <c r="F18" t="n">
        <v>67.53246753246754</v>
      </c>
      <c r="G18" t="n">
        <v>76.47058823529412</v>
      </c>
      <c r="H18" t="n">
        <v>93.1948051948052</v>
      </c>
      <c r="I18" t="n">
        <v>70.35294117647059</v>
      </c>
    </row>
    <row r="19">
      <c r="A19" t="inlineStr">
        <is>
          <t>МАЙ</t>
        </is>
      </c>
      <c r="B19" t="inlineStr">
        <is>
          <t>IT</t>
        </is>
      </c>
      <c r="C19" t="n">
        <v>22</v>
      </c>
      <c r="D19" t="n">
        <v>22</v>
      </c>
      <c r="E19" t="n">
        <v>10</v>
      </c>
      <c r="F19" t="n">
        <v>28.57142857142857</v>
      </c>
      <c r="G19" t="n">
        <v>19.6078431372549</v>
      </c>
      <c r="H19" t="n">
        <v>39.42857142857143</v>
      </c>
      <c r="I19" t="n">
        <v>18.03921568627451</v>
      </c>
    </row>
    <row r="20">
      <c r="A20" t="inlineStr">
        <is>
          <t>МАЙ</t>
        </is>
      </c>
      <c r="B20" t="inlineStr">
        <is>
          <t>Trade</t>
        </is>
      </c>
      <c r="C20" t="n">
        <v>3</v>
      </c>
      <c r="D20" t="n">
        <v>3</v>
      </c>
      <c r="E20" t="n">
        <v>2</v>
      </c>
      <c r="F20" t="n">
        <v>3.896103896103896</v>
      </c>
      <c r="G20" t="n">
        <v>3.92156862745098</v>
      </c>
      <c r="H20" t="n">
        <v>5.376623376623376</v>
      </c>
      <c r="I20" t="n">
        <v>3.607843137254902</v>
      </c>
    </row>
    <row r="21">
      <c r="A21" t="inlineStr">
        <is>
          <t>МАЙ</t>
        </is>
      </c>
      <c r="B21" t="inlineStr">
        <is>
          <t>Industrial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ИЮНЬ</t>
        </is>
      </c>
      <c r="B22" t="inlineStr">
        <is>
          <t>HR Service</t>
        </is>
      </c>
      <c r="C22" t="n">
        <v>202</v>
      </c>
      <c r="D22" t="n">
        <v>202</v>
      </c>
      <c r="E22" t="n">
        <v>166</v>
      </c>
      <c r="F22" t="n">
        <v>87.44588744588745</v>
      </c>
      <c r="G22" t="n">
        <v>86.45833333333334</v>
      </c>
      <c r="H22" t="n">
        <v>153.9047619047619</v>
      </c>
      <c r="I22" t="n">
        <v>115.8541666666667</v>
      </c>
    </row>
    <row r="23">
      <c r="A23" t="inlineStr">
        <is>
          <t>ИЮНЬ</t>
        </is>
      </c>
      <c r="B23" t="inlineStr">
        <is>
          <t>IT</t>
        </is>
      </c>
      <c r="C23" t="n">
        <v>25</v>
      </c>
      <c r="D23" t="n">
        <v>25</v>
      </c>
      <c r="E23" t="n">
        <v>23</v>
      </c>
      <c r="F23" t="n">
        <v>10.82251082251082</v>
      </c>
      <c r="G23" t="n">
        <v>11.97916666666667</v>
      </c>
      <c r="H23" t="n">
        <v>19.04761904761905</v>
      </c>
      <c r="I23" t="n">
        <v>16.05208333333333</v>
      </c>
    </row>
    <row r="24">
      <c r="A24" t="inlineStr">
        <is>
          <t>ИЮНЬ</t>
        </is>
      </c>
      <c r="B24" t="inlineStr">
        <is>
          <t>Trade</t>
        </is>
      </c>
      <c r="C24" t="n">
        <v>3</v>
      </c>
      <c r="D24" t="n">
        <v>3</v>
      </c>
      <c r="E24" t="n">
        <v>2</v>
      </c>
      <c r="F24" t="n">
        <v>1.298701298701299</v>
      </c>
      <c r="G24" t="n">
        <v>1.041666666666667</v>
      </c>
      <c r="H24" t="n">
        <v>2.285714285714286</v>
      </c>
      <c r="I24" t="n">
        <v>1.395833333333333</v>
      </c>
    </row>
    <row r="25">
      <c r="A25" t="inlineStr">
        <is>
          <t>ИЮНЬ</t>
        </is>
      </c>
      <c r="B25" t="inlineStr">
        <is>
          <t>Industrial</t>
        </is>
      </c>
      <c r="C25" t="n">
        <v>1</v>
      </c>
      <c r="D25" t="n">
        <v>1</v>
      </c>
      <c r="E25" t="n">
        <v>1</v>
      </c>
      <c r="F25" t="n">
        <v>0.4329004329004329</v>
      </c>
      <c r="G25" t="n">
        <v>0.5208333333333333</v>
      </c>
      <c r="H25" t="n">
        <v>0.7619047619047619</v>
      </c>
      <c r="I25" t="n">
        <v>0.6979166666666666</v>
      </c>
    </row>
    <row r="26">
      <c r="A26" t="inlineStr">
        <is>
          <t>ИЮЛЬ</t>
        </is>
      </c>
      <c r="B26" t="inlineStr">
        <is>
          <t>HR Service</t>
        </is>
      </c>
      <c r="C26" t="n">
        <v>140</v>
      </c>
      <c r="D26" t="n">
        <v>140</v>
      </c>
      <c r="E26" t="n">
        <v>121</v>
      </c>
      <c r="F26" t="n">
        <v>87.5</v>
      </c>
      <c r="G26" t="n">
        <v>90.29850746268657</v>
      </c>
      <c r="H26" t="n">
        <v>187.2727272727273</v>
      </c>
      <c r="I26" t="n">
        <v>131.0075187969925</v>
      </c>
    </row>
    <row r="27">
      <c r="A27" t="inlineStr">
        <is>
          <t>ИЮЛЬ</t>
        </is>
      </c>
      <c r="B27" t="inlineStr">
        <is>
          <t>IT</t>
        </is>
      </c>
      <c r="C27" t="n">
        <v>13</v>
      </c>
      <c r="D27" t="n">
        <v>13</v>
      </c>
      <c r="E27" t="n">
        <v>8</v>
      </c>
      <c r="F27" t="n">
        <v>8.125</v>
      </c>
      <c r="G27" t="n">
        <v>5.970149253731343</v>
      </c>
      <c r="H27" t="n">
        <v>17.38961038961039</v>
      </c>
      <c r="I27" t="n">
        <v>8.661654135338345</v>
      </c>
    </row>
    <row r="28">
      <c r="A28" t="inlineStr">
        <is>
          <t>ИЮЛЬ</t>
        </is>
      </c>
      <c r="B28" t="inlineStr">
        <is>
          <t>Trade</t>
        </is>
      </c>
      <c r="C28" t="n">
        <v>58</v>
      </c>
      <c r="D28" t="n">
        <v>6</v>
      </c>
      <c r="E28" t="n">
        <v>4</v>
      </c>
      <c r="F28" t="n">
        <v>3.75</v>
      </c>
      <c r="G28" t="n">
        <v>2.985074626865671</v>
      </c>
      <c r="H28" t="n">
        <v>6</v>
      </c>
      <c r="I28" t="n">
        <v>4.330827067669173</v>
      </c>
    </row>
    <row r="29">
      <c r="A29" t="inlineStr">
        <is>
          <t>ИЮЛЬ</t>
        </is>
      </c>
      <c r="B29" t="inlineStr">
        <is>
          <t>Industrial</t>
        </is>
      </c>
      <c r="C29" t="n">
        <v>1</v>
      </c>
      <c r="D29" t="n">
        <v>1</v>
      </c>
      <c r="E29" t="n">
        <v>1</v>
      </c>
      <c r="F29" t="n">
        <v>0.625</v>
      </c>
      <c r="G29" t="n">
        <v>0.7462686567164178</v>
      </c>
      <c r="H29" t="n">
        <v>1.337662337662338</v>
      </c>
      <c r="I29" t="n">
        <v>1</v>
      </c>
    </row>
    <row r="30">
      <c r="A30" t="inlineStr">
        <is>
          <t>АВГУСТ</t>
        </is>
      </c>
      <c r="B30" t="inlineStr">
        <is>
          <t>HR Service</t>
        </is>
      </c>
      <c r="C30" t="n">
        <v>111</v>
      </c>
      <c r="D30" t="n">
        <v>111</v>
      </c>
      <c r="E30" t="n">
        <v>80</v>
      </c>
      <c r="F30" t="n">
        <v>74.49664429530202</v>
      </c>
      <c r="G30" t="n">
        <v>84.21052631578947</v>
      </c>
      <c r="H30" t="n">
        <v>111</v>
      </c>
      <c r="I30" t="n">
        <v>80</v>
      </c>
    </row>
    <row r="31">
      <c r="A31" t="inlineStr">
        <is>
          <t>АВГУСТ</t>
        </is>
      </c>
      <c r="B31" t="inlineStr">
        <is>
          <t>IT</t>
        </is>
      </c>
      <c r="C31" t="n">
        <v>13</v>
      </c>
      <c r="D31" t="n">
        <v>13</v>
      </c>
      <c r="E31" t="n">
        <v>3</v>
      </c>
      <c r="F31" t="n">
        <v>8.724832214765101</v>
      </c>
      <c r="G31" t="n">
        <v>3.157894736842105</v>
      </c>
      <c r="H31" t="n">
        <v>13</v>
      </c>
      <c r="I31" t="n">
        <v>3</v>
      </c>
    </row>
    <row r="32">
      <c r="A32" t="inlineStr">
        <is>
          <t>АВГУСТ</t>
        </is>
      </c>
      <c r="B32" t="inlineStr">
        <is>
          <t>Trade</t>
        </is>
      </c>
      <c r="C32" t="n">
        <v>11</v>
      </c>
      <c r="D32" t="n">
        <v>11</v>
      </c>
      <c r="E32" t="n">
        <v>2</v>
      </c>
      <c r="F32" t="n">
        <v>7.38255033557047</v>
      </c>
      <c r="G32" t="n">
        <v>2.105263157894737</v>
      </c>
      <c r="H32" t="n">
        <v>11</v>
      </c>
      <c r="I32" t="n">
        <v>2</v>
      </c>
    </row>
    <row r="33">
      <c r="A33" t="inlineStr">
        <is>
          <t>АВГУСТ</t>
        </is>
      </c>
      <c r="B33" t="inlineStr">
        <is>
          <t>Industrial</t>
        </is>
      </c>
      <c r="C33" t="n">
        <v>14</v>
      </c>
      <c r="D33" t="n">
        <v>14</v>
      </c>
      <c r="E33" t="n">
        <v>10</v>
      </c>
      <c r="F33" t="n">
        <v>9.395973154362416</v>
      </c>
      <c r="G33" t="n">
        <v>10.52631578947368</v>
      </c>
      <c r="H33" t="n">
        <v>14</v>
      </c>
      <c r="I33" t="n">
        <v>10</v>
      </c>
    </row>
    <row r="34">
      <c r="A34" t="inlineStr">
        <is>
          <t>СЕНТЯБРЬ</t>
        </is>
      </c>
      <c r="B34" t="inlineStr">
        <is>
          <t>HR Service</t>
        </is>
      </c>
      <c r="C34" t="n">
        <v>139</v>
      </c>
      <c r="D34" t="n">
        <v>139</v>
      </c>
      <c r="E34" t="n">
        <v>114</v>
      </c>
      <c r="F34" t="n">
        <v>75.95628415300546</v>
      </c>
      <c r="G34" t="n">
        <v>78.62068965517241</v>
      </c>
      <c r="H34" t="n">
        <v>140.5191256830601</v>
      </c>
      <c r="I34" t="n">
        <v>114</v>
      </c>
    </row>
    <row r="35">
      <c r="A35" t="inlineStr">
        <is>
          <t>СЕНТЯБРЬ</t>
        </is>
      </c>
      <c r="B35" t="inlineStr">
        <is>
          <t>IT</t>
        </is>
      </c>
      <c r="C35" t="n">
        <v>32</v>
      </c>
      <c r="D35" t="n">
        <v>32</v>
      </c>
      <c r="E35" t="n">
        <v>28</v>
      </c>
      <c r="F35" t="n">
        <v>17.48633879781421</v>
      </c>
      <c r="G35" t="n">
        <v>19.31034482758621</v>
      </c>
      <c r="H35" t="n">
        <v>32.34972677595628</v>
      </c>
      <c r="I35" t="n">
        <v>28</v>
      </c>
    </row>
    <row r="36">
      <c r="A36" t="inlineStr">
        <is>
          <t>СЕНТЯБРЬ</t>
        </is>
      </c>
      <c r="B36" t="inlineStr">
        <is>
          <t>Trade</t>
        </is>
      </c>
      <c r="C36" t="n">
        <v>10</v>
      </c>
      <c r="D36" t="n">
        <v>10</v>
      </c>
      <c r="E36" t="n">
        <v>3</v>
      </c>
      <c r="F36" t="n">
        <v>5.46448087431694</v>
      </c>
      <c r="G36" t="n">
        <v>2.068965517241379</v>
      </c>
      <c r="H36" t="n">
        <v>10.10928961748634</v>
      </c>
      <c r="I36" t="n">
        <v>3</v>
      </c>
    </row>
    <row r="37">
      <c r="A37" t="inlineStr">
        <is>
          <t>СЕНТЯБРЬ</t>
        </is>
      </c>
      <c r="B37" t="inlineStr">
        <is>
          <t>Industrial</t>
        </is>
      </c>
      <c r="C37" t="n">
        <v>2</v>
      </c>
      <c r="D37" t="n">
        <v>2</v>
      </c>
      <c r="E37" t="n">
        <v>0</v>
      </c>
      <c r="F37" t="n">
        <v>1.092896174863388</v>
      </c>
      <c r="G37" t="n">
        <v>0</v>
      </c>
      <c r="H37" t="n">
        <v>2.021857923497268</v>
      </c>
      <c r="I37" t="n">
        <v>0</v>
      </c>
    </row>
  </sheetData>
  <autoFilter ref="A1:I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>
      <c r="A1" s="3" t="inlineStr">
        <is>
          <t>BU</t>
        </is>
      </c>
      <c r="B1" s="3" t="inlineStr">
        <is>
          <t>Расчёт по месячным линиям</t>
        </is>
      </c>
      <c r="C1" s="3" t="inlineStr">
        <is>
          <t>Кольцо BU на скриншоте</t>
        </is>
      </c>
      <c r="D1" s="3" t="inlineStr">
        <is>
          <t>Разница</t>
        </is>
      </c>
    </row>
    <row r="2">
      <c r="A2" t="inlineStr">
        <is>
          <t>HR Service</t>
        </is>
      </c>
      <c r="B2" t="n">
        <v>325</v>
      </c>
      <c r="C2" t="n">
        <v>315</v>
      </c>
      <c r="D2">
        <f>B2-C2</f>
        <v/>
      </c>
    </row>
    <row r="3">
      <c r="A3" t="inlineStr">
        <is>
          <t>IT</t>
        </is>
      </c>
      <c r="B3" t="n">
        <v>40</v>
      </c>
      <c r="C3" t="n">
        <v>39</v>
      </c>
      <c r="D3">
        <f>B3-C3</f>
        <v/>
      </c>
    </row>
    <row r="4">
      <c r="A4" t="inlineStr">
        <is>
          <t>Trade</t>
        </is>
      </c>
      <c r="B4" t="n">
        <v>9</v>
      </c>
      <c r="C4" t="n">
        <v>9</v>
      </c>
      <c r="D4">
        <f>B4-C4</f>
        <v/>
      </c>
    </row>
    <row r="5">
      <c r="A5" t="inlineStr">
        <is>
          <t>Industrial</t>
        </is>
      </c>
      <c r="B5" t="n">
        <v>11</v>
      </c>
      <c r="C5" t="n">
        <v>11</v>
      </c>
      <c r="D5">
        <f>B5-C5</f>
        <v/>
      </c>
    </row>
    <row r="6">
      <c r="A6" t="inlineStr">
        <is>
          <t>ИТОГО</t>
        </is>
      </c>
      <c r="B6">
        <f>SUM(B2:B5)</f>
        <v/>
      </c>
      <c r="C6">
        <f>SUM(C2:C5)</f>
        <v/>
      </c>
      <c r="D6">
        <f>B6-C6</f>
        <v/>
      </c>
    </row>
    <row r="7">
      <c r="A7" t="inlineStr">
        <is>
          <t>Причина</t>
        </is>
      </c>
      <c r="B7" s="4" t="inlineStr">
        <is>
          <t>Оранжевая линия: июль 145 + август 95 + сентябрь 145 = 385. Карточка и кольцо дают 374. Одновременно выполнить оба условия невозможно.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2026-10-29T06:12:19Z</dcterms:created>
  <dcterms:modified xmlns:dcterms="http://purl.org/dc/terms/" xmlns:xsi="http://www.w3.org/2001/XMLSchema-instance" xsi:type="dcterms:W3CDTF">2026-10-29T06:12:19Z</dcterms:modified>
</cp:coreProperties>
</file>